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eral\Desktop\"/>
    </mc:Choice>
  </mc:AlternateContent>
  <xr:revisionPtr revIDLastSave="0" documentId="13_ncr:1_{7AEBA363-9344-4F47-BA04-491627C3D2BF}" xr6:coauthVersionLast="38" xr6:coauthVersionMax="38" xr10:uidLastSave="{00000000-0000-0000-0000-000000000000}"/>
  <bookViews>
    <workbookView xWindow="0" yWindow="0" windowWidth="19200" windowHeight="6910" xr2:uid="{AD7E6283-ACC9-4E6B-843F-2B57FAD02357}"/>
  </bookViews>
  <sheets>
    <sheet name="Planilha2 (2)" sheetId="3" r:id="rId1"/>
    <sheet name="Planilha1" sheetId="1" r:id="rId2"/>
    <sheet name="Planilha2" sheetId="2" r:id="rId3"/>
  </sheets>
  <functionGroups builtInGroupCount="19"/>
  <definedNames>
    <definedName name="solver_adj" localSheetId="1" hidden="1">Planilha1!$D$15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Planilha1!$H$19</definedName>
    <definedName name="solver_lhs2" localSheetId="1" hidden="1">Planilha1!$H$20</definedName>
    <definedName name="solver_lhs3" localSheetId="1" hidden="1">Planilha1!$H$21</definedName>
    <definedName name="solver_lhs4" localSheetId="1" hidden="1">Planilha1!$H$22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Planilha1!$H$24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el4" localSheetId="1" hidden="1">2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hs4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11" i="3" l="1"/>
  <c r="K508" i="3"/>
  <c r="K507" i="3"/>
  <c r="I505" i="3"/>
  <c r="H505" i="3"/>
  <c r="G505" i="3"/>
  <c r="F505" i="3"/>
  <c r="I504" i="3"/>
  <c r="H504" i="3"/>
  <c r="G504" i="3"/>
  <c r="F504" i="3"/>
  <c r="I503" i="3"/>
  <c r="H503" i="3"/>
  <c r="G503" i="3"/>
  <c r="F503" i="3"/>
  <c r="I502" i="3"/>
  <c r="H502" i="3"/>
  <c r="G502" i="3"/>
  <c r="F502" i="3"/>
  <c r="I501" i="3"/>
  <c r="H501" i="3"/>
  <c r="G501" i="3"/>
  <c r="F501" i="3"/>
  <c r="J501" i="3" s="1"/>
  <c r="I500" i="3"/>
  <c r="H500" i="3"/>
  <c r="G500" i="3"/>
  <c r="F500" i="3"/>
  <c r="I499" i="3"/>
  <c r="H499" i="3"/>
  <c r="G499" i="3"/>
  <c r="F499" i="3"/>
  <c r="I498" i="3"/>
  <c r="H498" i="3"/>
  <c r="G498" i="3"/>
  <c r="F498" i="3"/>
  <c r="I497" i="3"/>
  <c r="H497" i="3"/>
  <c r="G497" i="3"/>
  <c r="F497" i="3"/>
  <c r="I496" i="3"/>
  <c r="H496" i="3"/>
  <c r="G496" i="3"/>
  <c r="F496" i="3"/>
  <c r="I495" i="3"/>
  <c r="H495" i="3"/>
  <c r="G495" i="3"/>
  <c r="F495" i="3"/>
  <c r="J495" i="3" s="1"/>
  <c r="I494" i="3"/>
  <c r="H494" i="3"/>
  <c r="G494" i="3"/>
  <c r="F494" i="3"/>
  <c r="I493" i="3"/>
  <c r="H493" i="3"/>
  <c r="G493" i="3"/>
  <c r="F493" i="3"/>
  <c r="I492" i="3"/>
  <c r="H492" i="3"/>
  <c r="G492" i="3"/>
  <c r="F492" i="3"/>
  <c r="I491" i="3"/>
  <c r="H491" i="3"/>
  <c r="G491" i="3"/>
  <c r="F491" i="3"/>
  <c r="I490" i="3"/>
  <c r="H490" i="3"/>
  <c r="G490" i="3"/>
  <c r="F490" i="3"/>
  <c r="I489" i="3"/>
  <c r="H489" i="3"/>
  <c r="G489" i="3"/>
  <c r="F489" i="3"/>
  <c r="I488" i="3"/>
  <c r="H488" i="3"/>
  <c r="G488" i="3"/>
  <c r="F488" i="3"/>
  <c r="I487" i="3"/>
  <c r="H487" i="3"/>
  <c r="G487" i="3"/>
  <c r="F487" i="3"/>
  <c r="I486" i="3"/>
  <c r="H486" i="3"/>
  <c r="G486" i="3"/>
  <c r="F486" i="3"/>
  <c r="I485" i="3"/>
  <c r="H485" i="3"/>
  <c r="G485" i="3"/>
  <c r="F485" i="3"/>
  <c r="I484" i="3"/>
  <c r="H484" i="3"/>
  <c r="G484" i="3"/>
  <c r="F484" i="3"/>
  <c r="I483" i="3"/>
  <c r="H483" i="3"/>
  <c r="G483" i="3"/>
  <c r="F483" i="3"/>
  <c r="J483" i="3" s="1"/>
  <c r="I482" i="3"/>
  <c r="H482" i="3"/>
  <c r="G482" i="3"/>
  <c r="F482" i="3"/>
  <c r="I481" i="3"/>
  <c r="H481" i="3"/>
  <c r="G481" i="3"/>
  <c r="F481" i="3"/>
  <c r="I480" i="3"/>
  <c r="H480" i="3"/>
  <c r="G480" i="3"/>
  <c r="F480" i="3"/>
  <c r="I479" i="3"/>
  <c r="H479" i="3"/>
  <c r="G479" i="3"/>
  <c r="F479" i="3"/>
  <c r="I478" i="3"/>
  <c r="H478" i="3"/>
  <c r="G478" i="3"/>
  <c r="F478" i="3"/>
  <c r="J478" i="3" s="1"/>
  <c r="I477" i="3"/>
  <c r="H477" i="3"/>
  <c r="G477" i="3"/>
  <c r="F477" i="3"/>
  <c r="I476" i="3"/>
  <c r="H476" i="3"/>
  <c r="G476" i="3"/>
  <c r="F476" i="3"/>
  <c r="I475" i="3"/>
  <c r="H475" i="3"/>
  <c r="G475" i="3"/>
  <c r="F475" i="3"/>
  <c r="I474" i="3"/>
  <c r="H474" i="3"/>
  <c r="G474" i="3"/>
  <c r="F474" i="3"/>
  <c r="I473" i="3"/>
  <c r="H473" i="3"/>
  <c r="G473" i="3"/>
  <c r="F473" i="3"/>
  <c r="I472" i="3"/>
  <c r="H472" i="3"/>
  <c r="G472" i="3"/>
  <c r="F472" i="3"/>
  <c r="I471" i="3"/>
  <c r="H471" i="3"/>
  <c r="G471" i="3"/>
  <c r="F471" i="3"/>
  <c r="I470" i="3"/>
  <c r="H470" i="3"/>
  <c r="G470" i="3"/>
  <c r="F470" i="3"/>
  <c r="I469" i="3"/>
  <c r="H469" i="3"/>
  <c r="G469" i="3"/>
  <c r="F469" i="3"/>
  <c r="I468" i="3"/>
  <c r="H468" i="3"/>
  <c r="G468" i="3"/>
  <c r="F468" i="3"/>
  <c r="I467" i="3"/>
  <c r="H467" i="3"/>
  <c r="G467" i="3"/>
  <c r="F467" i="3"/>
  <c r="I466" i="3"/>
  <c r="H466" i="3"/>
  <c r="G466" i="3"/>
  <c r="F466" i="3"/>
  <c r="I465" i="3"/>
  <c r="H465" i="3"/>
  <c r="G465" i="3"/>
  <c r="F465" i="3"/>
  <c r="I464" i="3"/>
  <c r="H464" i="3"/>
  <c r="G464" i="3"/>
  <c r="F464" i="3"/>
  <c r="I463" i="3"/>
  <c r="H463" i="3"/>
  <c r="G463" i="3"/>
  <c r="F463" i="3"/>
  <c r="I462" i="3"/>
  <c r="H462" i="3"/>
  <c r="G462" i="3"/>
  <c r="F462" i="3"/>
  <c r="I461" i="3"/>
  <c r="H461" i="3"/>
  <c r="G461" i="3"/>
  <c r="F461" i="3"/>
  <c r="I460" i="3"/>
  <c r="H460" i="3"/>
  <c r="G460" i="3"/>
  <c r="F460" i="3"/>
  <c r="I459" i="3"/>
  <c r="H459" i="3"/>
  <c r="G459" i="3"/>
  <c r="F459" i="3"/>
  <c r="I458" i="3"/>
  <c r="H458" i="3"/>
  <c r="G458" i="3"/>
  <c r="F458" i="3"/>
  <c r="I457" i="3"/>
  <c r="H457" i="3"/>
  <c r="G457" i="3"/>
  <c r="F457" i="3"/>
  <c r="I456" i="3"/>
  <c r="H456" i="3"/>
  <c r="G456" i="3"/>
  <c r="F456" i="3"/>
  <c r="I455" i="3"/>
  <c r="H455" i="3"/>
  <c r="G455" i="3"/>
  <c r="F455" i="3"/>
  <c r="I454" i="3"/>
  <c r="H454" i="3"/>
  <c r="G454" i="3"/>
  <c r="F454" i="3"/>
  <c r="I453" i="3"/>
  <c r="H453" i="3"/>
  <c r="G453" i="3"/>
  <c r="F453" i="3"/>
  <c r="I452" i="3"/>
  <c r="H452" i="3"/>
  <c r="G452" i="3"/>
  <c r="F452" i="3"/>
  <c r="I451" i="3"/>
  <c r="H451" i="3"/>
  <c r="G451" i="3"/>
  <c r="F451" i="3"/>
  <c r="J451" i="3" s="1"/>
  <c r="I450" i="3"/>
  <c r="H450" i="3"/>
  <c r="G450" i="3"/>
  <c r="F450" i="3"/>
  <c r="I449" i="3"/>
  <c r="H449" i="3"/>
  <c r="G449" i="3"/>
  <c r="F449" i="3"/>
  <c r="I448" i="3"/>
  <c r="H448" i="3"/>
  <c r="G448" i="3"/>
  <c r="F448" i="3"/>
  <c r="I447" i="3"/>
  <c r="H447" i="3"/>
  <c r="G447" i="3"/>
  <c r="F447" i="3"/>
  <c r="J447" i="3" s="1"/>
  <c r="I446" i="3"/>
  <c r="H446" i="3"/>
  <c r="G446" i="3"/>
  <c r="F446" i="3"/>
  <c r="I445" i="3"/>
  <c r="H445" i="3"/>
  <c r="G445" i="3"/>
  <c r="F445" i="3"/>
  <c r="I444" i="3"/>
  <c r="H444" i="3"/>
  <c r="G444" i="3"/>
  <c r="F444" i="3"/>
  <c r="I443" i="3"/>
  <c r="H443" i="3"/>
  <c r="G443" i="3"/>
  <c r="F443" i="3"/>
  <c r="I442" i="3"/>
  <c r="H442" i="3"/>
  <c r="G442" i="3"/>
  <c r="F442" i="3"/>
  <c r="I441" i="3"/>
  <c r="H441" i="3"/>
  <c r="G441" i="3"/>
  <c r="F441" i="3"/>
  <c r="I440" i="3"/>
  <c r="H440" i="3"/>
  <c r="G440" i="3"/>
  <c r="F440" i="3"/>
  <c r="I439" i="3"/>
  <c r="H439" i="3"/>
  <c r="G439" i="3"/>
  <c r="F439" i="3"/>
  <c r="J439" i="3" s="1"/>
  <c r="I438" i="3"/>
  <c r="H438" i="3"/>
  <c r="G438" i="3"/>
  <c r="F438" i="3"/>
  <c r="I437" i="3"/>
  <c r="H437" i="3"/>
  <c r="G437" i="3"/>
  <c r="F437" i="3"/>
  <c r="J437" i="3" s="1"/>
  <c r="I436" i="3"/>
  <c r="H436" i="3"/>
  <c r="G436" i="3"/>
  <c r="F436" i="3"/>
  <c r="I435" i="3"/>
  <c r="H435" i="3"/>
  <c r="G435" i="3"/>
  <c r="F435" i="3"/>
  <c r="I434" i="3"/>
  <c r="H434" i="3"/>
  <c r="G434" i="3"/>
  <c r="F434" i="3"/>
  <c r="I433" i="3"/>
  <c r="H433" i="3"/>
  <c r="G433" i="3"/>
  <c r="F433" i="3"/>
  <c r="J433" i="3" s="1"/>
  <c r="I432" i="3"/>
  <c r="H432" i="3"/>
  <c r="G432" i="3"/>
  <c r="F432" i="3"/>
  <c r="I431" i="3"/>
  <c r="H431" i="3"/>
  <c r="G431" i="3"/>
  <c r="F431" i="3"/>
  <c r="I430" i="3"/>
  <c r="H430" i="3"/>
  <c r="G430" i="3"/>
  <c r="F430" i="3"/>
  <c r="I429" i="3"/>
  <c r="H429" i="3"/>
  <c r="G429" i="3"/>
  <c r="F429" i="3"/>
  <c r="I428" i="3"/>
  <c r="H428" i="3"/>
  <c r="G428" i="3"/>
  <c r="F428" i="3"/>
  <c r="I427" i="3"/>
  <c r="H427" i="3"/>
  <c r="G427" i="3"/>
  <c r="F427" i="3"/>
  <c r="I426" i="3"/>
  <c r="H426" i="3"/>
  <c r="G426" i="3"/>
  <c r="F426" i="3"/>
  <c r="I425" i="3"/>
  <c r="H425" i="3"/>
  <c r="G425" i="3"/>
  <c r="F425" i="3"/>
  <c r="I424" i="3"/>
  <c r="H424" i="3"/>
  <c r="G424" i="3"/>
  <c r="F424" i="3"/>
  <c r="I423" i="3"/>
  <c r="H423" i="3"/>
  <c r="G423" i="3"/>
  <c r="F423" i="3"/>
  <c r="I422" i="3"/>
  <c r="H422" i="3"/>
  <c r="G422" i="3"/>
  <c r="F422" i="3"/>
  <c r="J422" i="3" s="1"/>
  <c r="I421" i="3"/>
  <c r="H421" i="3"/>
  <c r="G421" i="3"/>
  <c r="F421" i="3"/>
  <c r="I420" i="3"/>
  <c r="H420" i="3"/>
  <c r="G420" i="3"/>
  <c r="F420" i="3"/>
  <c r="I419" i="3"/>
  <c r="H419" i="3"/>
  <c r="G419" i="3"/>
  <c r="F419" i="3"/>
  <c r="I418" i="3"/>
  <c r="H418" i="3"/>
  <c r="G418" i="3"/>
  <c r="F418" i="3"/>
  <c r="I417" i="3"/>
  <c r="H417" i="3"/>
  <c r="G417" i="3"/>
  <c r="F417" i="3"/>
  <c r="J417" i="3" s="1"/>
  <c r="I416" i="3"/>
  <c r="H416" i="3"/>
  <c r="G416" i="3"/>
  <c r="F416" i="3"/>
  <c r="I415" i="3"/>
  <c r="H415" i="3"/>
  <c r="G415" i="3"/>
  <c r="F415" i="3"/>
  <c r="I414" i="3"/>
  <c r="H414" i="3"/>
  <c r="G414" i="3"/>
  <c r="F414" i="3"/>
  <c r="I413" i="3"/>
  <c r="H413" i="3"/>
  <c r="G413" i="3"/>
  <c r="F413" i="3"/>
  <c r="I412" i="3"/>
  <c r="H412" i="3"/>
  <c r="G412" i="3"/>
  <c r="F412" i="3"/>
  <c r="I411" i="3"/>
  <c r="H411" i="3"/>
  <c r="G411" i="3"/>
  <c r="F411" i="3"/>
  <c r="I410" i="3"/>
  <c r="H410" i="3"/>
  <c r="G410" i="3"/>
  <c r="F410" i="3"/>
  <c r="I409" i="3"/>
  <c r="H409" i="3"/>
  <c r="G409" i="3"/>
  <c r="F409" i="3"/>
  <c r="I408" i="3"/>
  <c r="H408" i="3"/>
  <c r="G408" i="3"/>
  <c r="F408" i="3"/>
  <c r="I407" i="3"/>
  <c r="H407" i="3"/>
  <c r="G407" i="3"/>
  <c r="F407" i="3"/>
  <c r="I406" i="3"/>
  <c r="H406" i="3"/>
  <c r="G406" i="3"/>
  <c r="F406" i="3"/>
  <c r="I405" i="3"/>
  <c r="H405" i="3"/>
  <c r="G405" i="3"/>
  <c r="F405" i="3"/>
  <c r="I404" i="3"/>
  <c r="H404" i="3"/>
  <c r="G404" i="3"/>
  <c r="F404" i="3"/>
  <c r="I403" i="3"/>
  <c r="H403" i="3"/>
  <c r="G403" i="3"/>
  <c r="F403" i="3"/>
  <c r="J403" i="3" s="1"/>
  <c r="I402" i="3"/>
  <c r="H402" i="3"/>
  <c r="G402" i="3"/>
  <c r="F402" i="3"/>
  <c r="I401" i="3"/>
  <c r="H401" i="3"/>
  <c r="G401" i="3"/>
  <c r="F401" i="3"/>
  <c r="I400" i="3"/>
  <c r="H400" i="3"/>
  <c r="G400" i="3"/>
  <c r="F400" i="3"/>
  <c r="I399" i="3"/>
  <c r="H399" i="3"/>
  <c r="G399" i="3"/>
  <c r="F399" i="3"/>
  <c r="J399" i="3" s="1"/>
  <c r="I398" i="3"/>
  <c r="H398" i="3"/>
  <c r="G398" i="3"/>
  <c r="F398" i="3"/>
  <c r="I397" i="3"/>
  <c r="H397" i="3"/>
  <c r="G397" i="3"/>
  <c r="F397" i="3"/>
  <c r="I396" i="3"/>
  <c r="H396" i="3"/>
  <c r="G396" i="3"/>
  <c r="F396" i="3"/>
  <c r="I395" i="3"/>
  <c r="H395" i="3"/>
  <c r="G395" i="3"/>
  <c r="F395" i="3"/>
  <c r="I394" i="3"/>
  <c r="H394" i="3"/>
  <c r="G394" i="3"/>
  <c r="F394" i="3"/>
  <c r="J394" i="3" s="1"/>
  <c r="I393" i="3"/>
  <c r="H393" i="3"/>
  <c r="G393" i="3"/>
  <c r="F393" i="3"/>
  <c r="J393" i="3" s="1"/>
  <c r="I392" i="3"/>
  <c r="H392" i="3"/>
  <c r="G392" i="3"/>
  <c r="F392" i="3"/>
  <c r="I391" i="3"/>
  <c r="H391" i="3"/>
  <c r="G391" i="3"/>
  <c r="F391" i="3"/>
  <c r="I390" i="3"/>
  <c r="H390" i="3"/>
  <c r="G390" i="3"/>
  <c r="F390" i="3"/>
  <c r="I389" i="3"/>
  <c r="H389" i="3"/>
  <c r="G389" i="3"/>
  <c r="F389" i="3"/>
  <c r="I388" i="3"/>
  <c r="H388" i="3"/>
  <c r="G388" i="3"/>
  <c r="F388" i="3"/>
  <c r="I387" i="3"/>
  <c r="H387" i="3"/>
  <c r="G387" i="3"/>
  <c r="F387" i="3"/>
  <c r="I386" i="3"/>
  <c r="H386" i="3"/>
  <c r="G386" i="3"/>
  <c r="F386" i="3"/>
  <c r="I385" i="3"/>
  <c r="H385" i="3"/>
  <c r="G385" i="3"/>
  <c r="F385" i="3"/>
  <c r="I384" i="3"/>
  <c r="H384" i="3"/>
  <c r="G384" i="3"/>
  <c r="F384" i="3"/>
  <c r="I383" i="3"/>
  <c r="H383" i="3"/>
  <c r="G383" i="3"/>
  <c r="F383" i="3"/>
  <c r="I382" i="3"/>
  <c r="H382" i="3"/>
  <c r="G382" i="3"/>
  <c r="F382" i="3"/>
  <c r="J382" i="3" s="1"/>
  <c r="I381" i="3"/>
  <c r="H381" i="3"/>
  <c r="G381" i="3"/>
  <c r="F381" i="3"/>
  <c r="I380" i="3"/>
  <c r="H380" i="3"/>
  <c r="G380" i="3"/>
  <c r="F380" i="3"/>
  <c r="I379" i="3"/>
  <c r="H379" i="3"/>
  <c r="G379" i="3"/>
  <c r="F379" i="3"/>
  <c r="I378" i="3"/>
  <c r="H378" i="3"/>
  <c r="G378" i="3"/>
  <c r="F378" i="3"/>
  <c r="I377" i="3"/>
  <c r="H377" i="3"/>
  <c r="G377" i="3"/>
  <c r="F377" i="3"/>
  <c r="I376" i="3"/>
  <c r="H376" i="3"/>
  <c r="G376" i="3"/>
  <c r="F376" i="3"/>
  <c r="I375" i="3"/>
  <c r="H375" i="3"/>
  <c r="G375" i="3"/>
  <c r="F375" i="3"/>
  <c r="I374" i="3"/>
  <c r="H374" i="3"/>
  <c r="G374" i="3"/>
  <c r="F374" i="3"/>
  <c r="I373" i="3"/>
  <c r="H373" i="3"/>
  <c r="G373" i="3"/>
  <c r="F373" i="3"/>
  <c r="I372" i="3"/>
  <c r="H372" i="3"/>
  <c r="G372" i="3"/>
  <c r="F372" i="3"/>
  <c r="J372" i="3" s="1"/>
  <c r="I371" i="3"/>
  <c r="H371" i="3"/>
  <c r="G371" i="3"/>
  <c r="F371" i="3"/>
  <c r="I370" i="3"/>
  <c r="H370" i="3"/>
  <c r="G370" i="3"/>
  <c r="F370" i="3"/>
  <c r="I369" i="3"/>
  <c r="H369" i="3"/>
  <c r="G369" i="3"/>
  <c r="F369" i="3"/>
  <c r="I368" i="3"/>
  <c r="H368" i="3"/>
  <c r="G368" i="3"/>
  <c r="F368" i="3"/>
  <c r="I367" i="3"/>
  <c r="H367" i="3"/>
  <c r="G367" i="3"/>
  <c r="F367" i="3"/>
  <c r="I366" i="3"/>
  <c r="H366" i="3"/>
  <c r="G366" i="3"/>
  <c r="F366" i="3"/>
  <c r="I365" i="3"/>
  <c r="H365" i="3"/>
  <c r="G365" i="3"/>
  <c r="F365" i="3"/>
  <c r="I364" i="3"/>
  <c r="H364" i="3"/>
  <c r="G364" i="3"/>
  <c r="F364" i="3"/>
  <c r="I363" i="3"/>
  <c r="H363" i="3"/>
  <c r="G363" i="3"/>
  <c r="F363" i="3"/>
  <c r="I362" i="3"/>
  <c r="H362" i="3"/>
  <c r="G362" i="3"/>
  <c r="F362" i="3"/>
  <c r="I361" i="3"/>
  <c r="H361" i="3"/>
  <c r="G361" i="3"/>
  <c r="F361" i="3"/>
  <c r="I360" i="3"/>
  <c r="H360" i="3"/>
  <c r="G360" i="3"/>
  <c r="F360" i="3"/>
  <c r="I359" i="3"/>
  <c r="H359" i="3"/>
  <c r="G359" i="3"/>
  <c r="F359" i="3"/>
  <c r="I358" i="3"/>
  <c r="H358" i="3"/>
  <c r="G358" i="3"/>
  <c r="F358" i="3"/>
  <c r="I357" i="3"/>
  <c r="H357" i="3"/>
  <c r="G357" i="3"/>
  <c r="F357" i="3"/>
  <c r="I356" i="3"/>
  <c r="H356" i="3"/>
  <c r="G356" i="3"/>
  <c r="F356" i="3"/>
  <c r="I355" i="3"/>
  <c r="H355" i="3"/>
  <c r="G355" i="3"/>
  <c r="F355" i="3"/>
  <c r="I354" i="3"/>
  <c r="H354" i="3"/>
  <c r="G354" i="3"/>
  <c r="F354" i="3"/>
  <c r="I353" i="3"/>
  <c r="H353" i="3"/>
  <c r="G353" i="3"/>
  <c r="F353" i="3"/>
  <c r="I352" i="3"/>
  <c r="H352" i="3"/>
  <c r="G352" i="3"/>
  <c r="F352" i="3"/>
  <c r="I351" i="3"/>
  <c r="H351" i="3"/>
  <c r="G351" i="3"/>
  <c r="F351" i="3"/>
  <c r="I350" i="3"/>
  <c r="H350" i="3"/>
  <c r="G350" i="3"/>
  <c r="F350" i="3"/>
  <c r="I349" i="3"/>
  <c r="H349" i="3"/>
  <c r="G349" i="3"/>
  <c r="F349" i="3"/>
  <c r="I348" i="3"/>
  <c r="H348" i="3"/>
  <c r="G348" i="3"/>
  <c r="F348" i="3"/>
  <c r="I347" i="3"/>
  <c r="H347" i="3"/>
  <c r="G347" i="3"/>
  <c r="F347" i="3"/>
  <c r="I346" i="3"/>
  <c r="H346" i="3"/>
  <c r="G346" i="3"/>
  <c r="F346" i="3"/>
  <c r="I345" i="3"/>
  <c r="H345" i="3"/>
  <c r="G345" i="3"/>
  <c r="F345" i="3"/>
  <c r="I344" i="3"/>
  <c r="H344" i="3"/>
  <c r="G344" i="3"/>
  <c r="F344" i="3"/>
  <c r="I343" i="3"/>
  <c r="H343" i="3"/>
  <c r="G343" i="3"/>
  <c r="F343" i="3"/>
  <c r="I342" i="3"/>
  <c r="H342" i="3"/>
  <c r="G342" i="3"/>
  <c r="F342" i="3"/>
  <c r="I341" i="3"/>
  <c r="H341" i="3"/>
  <c r="G341" i="3"/>
  <c r="F341" i="3"/>
  <c r="I340" i="3"/>
  <c r="H340" i="3"/>
  <c r="G340" i="3"/>
  <c r="F340" i="3"/>
  <c r="I339" i="3"/>
  <c r="H339" i="3"/>
  <c r="G339" i="3"/>
  <c r="F339" i="3"/>
  <c r="I338" i="3"/>
  <c r="H338" i="3"/>
  <c r="G338" i="3"/>
  <c r="F338" i="3"/>
  <c r="I337" i="3"/>
  <c r="H337" i="3"/>
  <c r="G337" i="3"/>
  <c r="F337" i="3"/>
  <c r="I336" i="3"/>
  <c r="H336" i="3"/>
  <c r="G336" i="3"/>
  <c r="F336" i="3"/>
  <c r="I335" i="3"/>
  <c r="H335" i="3"/>
  <c r="G335" i="3"/>
  <c r="F335" i="3"/>
  <c r="I334" i="3"/>
  <c r="H334" i="3"/>
  <c r="G334" i="3"/>
  <c r="F334" i="3"/>
  <c r="I333" i="3"/>
  <c r="H333" i="3"/>
  <c r="G333" i="3"/>
  <c r="F333" i="3"/>
  <c r="I332" i="3"/>
  <c r="H332" i="3"/>
  <c r="G332" i="3"/>
  <c r="F332" i="3"/>
  <c r="J332" i="3" s="1"/>
  <c r="I331" i="3"/>
  <c r="H331" i="3"/>
  <c r="G331" i="3"/>
  <c r="F331" i="3"/>
  <c r="I330" i="3"/>
  <c r="H330" i="3"/>
  <c r="G330" i="3"/>
  <c r="F330" i="3"/>
  <c r="I329" i="3"/>
  <c r="H329" i="3"/>
  <c r="G329" i="3"/>
  <c r="F329" i="3"/>
  <c r="I328" i="3"/>
  <c r="H328" i="3"/>
  <c r="G328" i="3"/>
  <c r="F328" i="3"/>
  <c r="I327" i="3"/>
  <c r="H327" i="3"/>
  <c r="G327" i="3"/>
  <c r="F327" i="3"/>
  <c r="I326" i="3"/>
  <c r="H326" i="3"/>
  <c r="G326" i="3"/>
  <c r="F326" i="3"/>
  <c r="I325" i="3"/>
  <c r="H325" i="3"/>
  <c r="G325" i="3"/>
  <c r="F325" i="3"/>
  <c r="I324" i="3"/>
  <c r="H324" i="3"/>
  <c r="G324" i="3"/>
  <c r="F324" i="3"/>
  <c r="I323" i="3"/>
  <c r="H323" i="3"/>
  <c r="G323" i="3"/>
  <c r="F323" i="3"/>
  <c r="I322" i="3"/>
  <c r="H322" i="3"/>
  <c r="G322" i="3"/>
  <c r="F322" i="3"/>
  <c r="I321" i="3"/>
  <c r="H321" i="3"/>
  <c r="G321" i="3"/>
  <c r="F321" i="3"/>
  <c r="I320" i="3"/>
  <c r="H320" i="3"/>
  <c r="G320" i="3"/>
  <c r="F320" i="3"/>
  <c r="I319" i="3"/>
  <c r="H319" i="3"/>
  <c r="G319" i="3"/>
  <c r="F319" i="3"/>
  <c r="I318" i="3"/>
  <c r="H318" i="3"/>
  <c r="G318" i="3"/>
  <c r="F318" i="3"/>
  <c r="I317" i="3"/>
  <c r="H317" i="3"/>
  <c r="G317" i="3"/>
  <c r="F317" i="3"/>
  <c r="I316" i="3"/>
  <c r="H316" i="3"/>
  <c r="G316" i="3"/>
  <c r="F316" i="3"/>
  <c r="I315" i="3"/>
  <c r="H315" i="3"/>
  <c r="G315" i="3"/>
  <c r="F315" i="3"/>
  <c r="I314" i="3"/>
  <c r="H314" i="3"/>
  <c r="G314" i="3"/>
  <c r="F314" i="3"/>
  <c r="I313" i="3"/>
  <c r="H313" i="3"/>
  <c r="G313" i="3"/>
  <c r="F313" i="3"/>
  <c r="I312" i="3"/>
  <c r="H312" i="3"/>
  <c r="G312" i="3"/>
  <c r="F312" i="3"/>
  <c r="I311" i="3"/>
  <c r="H311" i="3"/>
  <c r="G311" i="3"/>
  <c r="F311" i="3"/>
  <c r="I310" i="3"/>
  <c r="H310" i="3"/>
  <c r="G310" i="3"/>
  <c r="F310" i="3"/>
  <c r="I309" i="3"/>
  <c r="H309" i="3"/>
  <c r="G309" i="3"/>
  <c r="F309" i="3"/>
  <c r="I308" i="3"/>
  <c r="H308" i="3"/>
  <c r="G308" i="3"/>
  <c r="F308" i="3"/>
  <c r="I307" i="3"/>
  <c r="H307" i="3"/>
  <c r="G307" i="3"/>
  <c r="F307" i="3"/>
  <c r="I306" i="3"/>
  <c r="H306" i="3"/>
  <c r="G306" i="3"/>
  <c r="F306" i="3"/>
  <c r="I305" i="3"/>
  <c r="H305" i="3"/>
  <c r="G305" i="3"/>
  <c r="F305" i="3"/>
  <c r="I304" i="3"/>
  <c r="H304" i="3"/>
  <c r="G304" i="3"/>
  <c r="F304" i="3"/>
  <c r="I303" i="3"/>
  <c r="H303" i="3"/>
  <c r="G303" i="3"/>
  <c r="F303" i="3"/>
  <c r="I302" i="3"/>
  <c r="H302" i="3"/>
  <c r="G302" i="3"/>
  <c r="F302" i="3"/>
  <c r="I301" i="3"/>
  <c r="H301" i="3"/>
  <c r="G301" i="3"/>
  <c r="F301" i="3"/>
  <c r="I300" i="3"/>
  <c r="H300" i="3"/>
  <c r="G300" i="3"/>
  <c r="F300" i="3"/>
  <c r="I299" i="3"/>
  <c r="H299" i="3"/>
  <c r="G299" i="3"/>
  <c r="F299" i="3"/>
  <c r="I298" i="3"/>
  <c r="H298" i="3"/>
  <c r="G298" i="3"/>
  <c r="F298" i="3"/>
  <c r="I297" i="3"/>
  <c r="H297" i="3"/>
  <c r="G297" i="3"/>
  <c r="F297" i="3"/>
  <c r="I296" i="3"/>
  <c r="H296" i="3"/>
  <c r="G296" i="3"/>
  <c r="F296" i="3"/>
  <c r="I295" i="3"/>
  <c r="H295" i="3"/>
  <c r="G295" i="3"/>
  <c r="F295" i="3"/>
  <c r="I294" i="3"/>
  <c r="H294" i="3"/>
  <c r="G294" i="3"/>
  <c r="F294" i="3"/>
  <c r="I293" i="3"/>
  <c r="H293" i="3"/>
  <c r="G293" i="3"/>
  <c r="F293" i="3"/>
  <c r="I292" i="3"/>
  <c r="H292" i="3"/>
  <c r="G292" i="3"/>
  <c r="F292" i="3"/>
  <c r="I291" i="3"/>
  <c r="H291" i="3"/>
  <c r="G291" i="3"/>
  <c r="F291" i="3"/>
  <c r="I290" i="3"/>
  <c r="H290" i="3"/>
  <c r="G290" i="3"/>
  <c r="F290" i="3"/>
  <c r="I289" i="3"/>
  <c r="H289" i="3"/>
  <c r="G289" i="3"/>
  <c r="F289" i="3"/>
  <c r="I288" i="3"/>
  <c r="H288" i="3"/>
  <c r="G288" i="3"/>
  <c r="F288" i="3"/>
  <c r="I287" i="3"/>
  <c r="H287" i="3"/>
  <c r="G287" i="3"/>
  <c r="F287" i="3"/>
  <c r="I286" i="3"/>
  <c r="H286" i="3"/>
  <c r="G286" i="3"/>
  <c r="F286" i="3"/>
  <c r="I285" i="3"/>
  <c r="H285" i="3"/>
  <c r="G285" i="3"/>
  <c r="F285" i="3"/>
  <c r="I284" i="3"/>
  <c r="H284" i="3"/>
  <c r="G284" i="3"/>
  <c r="F284" i="3"/>
  <c r="I283" i="3"/>
  <c r="H283" i="3"/>
  <c r="G283" i="3"/>
  <c r="F283" i="3"/>
  <c r="I282" i="3"/>
  <c r="H282" i="3"/>
  <c r="G282" i="3"/>
  <c r="F282" i="3"/>
  <c r="I281" i="3"/>
  <c r="H281" i="3"/>
  <c r="G281" i="3"/>
  <c r="F281" i="3"/>
  <c r="I280" i="3"/>
  <c r="H280" i="3"/>
  <c r="G280" i="3"/>
  <c r="F280" i="3"/>
  <c r="I279" i="3"/>
  <c r="H279" i="3"/>
  <c r="G279" i="3"/>
  <c r="F279" i="3"/>
  <c r="I278" i="3"/>
  <c r="H278" i="3"/>
  <c r="G278" i="3"/>
  <c r="F278" i="3"/>
  <c r="I277" i="3"/>
  <c r="H277" i="3"/>
  <c r="G277" i="3"/>
  <c r="F277" i="3"/>
  <c r="I276" i="3"/>
  <c r="H276" i="3"/>
  <c r="G276" i="3"/>
  <c r="F276" i="3"/>
  <c r="I275" i="3"/>
  <c r="H275" i="3"/>
  <c r="G275" i="3"/>
  <c r="F275" i="3"/>
  <c r="I274" i="3"/>
  <c r="H274" i="3"/>
  <c r="G274" i="3"/>
  <c r="F274" i="3"/>
  <c r="I273" i="3"/>
  <c r="H273" i="3"/>
  <c r="G273" i="3"/>
  <c r="F273" i="3"/>
  <c r="I272" i="3"/>
  <c r="H272" i="3"/>
  <c r="G272" i="3"/>
  <c r="F272" i="3"/>
  <c r="I271" i="3"/>
  <c r="H271" i="3"/>
  <c r="G271" i="3"/>
  <c r="F271" i="3"/>
  <c r="I270" i="3"/>
  <c r="H270" i="3"/>
  <c r="G270" i="3"/>
  <c r="F270" i="3"/>
  <c r="I269" i="3"/>
  <c r="H269" i="3"/>
  <c r="G269" i="3"/>
  <c r="F269" i="3"/>
  <c r="I268" i="3"/>
  <c r="H268" i="3"/>
  <c r="G268" i="3"/>
  <c r="F268" i="3"/>
  <c r="I267" i="3"/>
  <c r="H267" i="3"/>
  <c r="G267" i="3"/>
  <c r="F267" i="3"/>
  <c r="I266" i="3"/>
  <c r="H266" i="3"/>
  <c r="G266" i="3"/>
  <c r="F266" i="3"/>
  <c r="I265" i="3"/>
  <c r="H265" i="3"/>
  <c r="G265" i="3"/>
  <c r="F265" i="3"/>
  <c r="I264" i="3"/>
  <c r="H264" i="3"/>
  <c r="G264" i="3"/>
  <c r="F264" i="3"/>
  <c r="I263" i="3"/>
  <c r="H263" i="3"/>
  <c r="G263" i="3"/>
  <c r="F263" i="3"/>
  <c r="I262" i="3"/>
  <c r="H262" i="3"/>
  <c r="G262" i="3"/>
  <c r="F262" i="3"/>
  <c r="I261" i="3"/>
  <c r="H261" i="3"/>
  <c r="G261" i="3"/>
  <c r="F261" i="3"/>
  <c r="I260" i="3"/>
  <c r="H260" i="3"/>
  <c r="G260" i="3"/>
  <c r="F260" i="3"/>
  <c r="I259" i="3"/>
  <c r="H259" i="3"/>
  <c r="G259" i="3"/>
  <c r="F259" i="3"/>
  <c r="I258" i="3"/>
  <c r="H258" i="3"/>
  <c r="G258" i="3"/>
  <c r="F258" i="3"/>
  <c r="I257" i="3"/>
  <c r="H257" i="3"/>
  <c r="G257" i="3"/>
  <c r="F257" i="3"/>
  <c r="I256" i="3"/>
  <c r="H256" i="3"/>
  <c r="G256" i="3"/>
  <c r="F256" i="3"/>
  <c r="I255" i="3"/>
  <c r="H255" i="3"/>
  <c r="G255" i="3"/>
  <c r="F255" i="3"/>
  <c r="J255" i="3" s="1"/>
  <c r="I254" i="3"/>
  <c r="H254" i="3"/>
  <c r="G254" i="3"/>
  <c r="F254" i="3"/>
  <c r="I253" i="3"/>
  <c r="H253" i="3"/>
  <c r="G253" i="3"/>
  <c r="F253" i="3"/>
  <c r="I252" i="3"/>
  <c r="H252" i="3"/>
  <c r="G252" i="3"/>
  <c r="F252" i="3"/>
  <c r="I251" i="3"/>
  <c r="H251" i="3"/>
  <c r="G251" i="3"/>
  <c r="F251" i="3"/>
  <c r="J251" i="3" s="1"/>
  <c r="I250" i="3"/>
  <c r="H250" i="3"/>
  <c r="G250" i="3"/>
  <c r="F250" i="3"/>
  <c r="J250" i="3" s="1"/>
  <c r="I249" i="3"/>
  <c r="H249" i="3"/>
  <c r="G249" i="3"/>
  <c r="F249" i="3"/>
  <c r="I248" i="3"/>
  <c r="H248" i="3"/>
  <c r="G248" i="3"/>
  <c r="F248" i="3"/>
  <c r="I247" i="3"/>
  <c r="H247" i="3"/>
  <c r="G247" i="3"/>
  <c r="F247" i="3"/>
  <c r="I246" i="3"/>
  <c r="H246" i="3"/>
  <c r="G246" i="3"/>
  <c r="F246" i="3"/>
  <c r="J246" i="3" s="1"/>
  <c r="I245" i="3"/>
  <c r="H245" i="3"/>
  <c r="G245" i="3"/>
  <c r="F245" i="3"/>
  <c r="I244" i="3"/>
  <c r="H244" i="3"/>
  <c r="G244" i="3"/>
  <c r="F244" i="3"/>
  <c r="I243" i="3"/>
  <c r="H243" i="3"/>
  <c r="G243" i="3"/>
  <c r="F243" i="3"/>
  <c r="I242" i="3"/>
  <c r="H242" i="3"/>
  <c r="G242" i="3"/>
  <c r="F242" i="3"/>
  <c r="I241" i="3"/>
  <c r="H241" i="3"/>
  <c r="G241" i="3"/>
  <c r="F241" i="3"/>
  <c r="I240" i="3"/>
  <c r="H240" i="3"/>
  <c r="G240" i="3"/>
  <c r="F240" i="3"/>
  <c r="I239" i="3"/>
  <c r="H239" i="3"/>
  <c r="G239" i="3"/>
  <c r="F239" i="3"/>
  <c r="I238" i="3"/>
  <c r="H238" i="3"/>
  <c r="G238" i="3"/>
  <c r="F238" i="3"/>
  <c r="I237" i="3"/>
  <c r="H237" i="3"/>
  <c r="G237" i="3"/>
  <c r="F237" i="3"/>
  <c r="I236" i="3"/>
  <c r="H236" i="3"/>
  <c r="G236" i="3"/>
  <c r="F236" i="3"/>
  <c r="J236" i="3" s="1"/>
  <c r="I235" i="3"/>
  <c r="H235" i="3"/>
  <c r="G235" i="3"/>
  <c r="F235" i="3"/>
  <c r="J235" i="3" s="1"/>
  <c r="I234" i="3"/>
  <c r="H234" i="3"/>
  <c r="G234" i="3"/>
  <c r="F234" i="3"/>
  <c r="J234" i="3" s="1"/>
  <c r="I233" i="3"/>
  <c r="H233" i="3"/>
  <c r="G233" i="3"/>
  <c r="F233" i="3"/>
  <c r="I232" i="3"/>
  <c r="H232" i="3"/>
  <c r="G232" i="3"/>
  <c r="F232" i="3"/>
  <c r="I231" i="3"/>
  <c r="H231" i="3"/>
  <c r="G231" i="3"/>
  <c r="F231" i="3"/>
  <c r="I230" i="3"/>
  <c r="H230" i="3"/>
  <c r="G230" i="3"/>
  <c r="F230" i="3"/>
  <c r="I229" i="3"/>
  <c r="H229" i="3"/>
  <c r="G229" i="3"/>
  <c r="F229" i="3"/>
  <c r="I228" i="3"/>
  <c r="H228" i="3"/>
  <c r="G228" i="3"/>
  <c r="F228" i="3"/>
  <c r="I227" i="3"/>
  <c r="H227" i="3"/>
  <c r="G227" i="3"/>
  <c r="F227" i="3"/>
  <c r="I226" i="3"/>
  <c r="H226" i="3"/>
  <c r="G226" i="3"/>
  <c r="F226" i="3"/>
  <c r="I225" i="3"/>
  <c r="H225" i="3"/>
  <c r="G225" i="3"/>
  <c r="F225" i="3"/>
  <c r="I224" i="3"/>
  <c r="H224" i="3"/>
  <c r="G224" i="3"/>
  <c r="F224" i="3"/>
  <c r="I223" i="3"/>
  <c r="H223" i="3"/>
  <c r="G223" i="3"/>
  <c r="F223" i="3"/>
  <c r="I222" i="3"/>
  <c r="H222" i="3"/>
  <c r="G222" i="3"/>
  <c r="F222" i="3"/>
  <c r="I221" i="3"/>
  <c r="H221" i="3"/>
  <c r="G221" i="3"/>
  <c r="F221" i="3"/>
  <c r="I220" i="3"/>
  <c r="H220" i="3"/>
  <c r="G220" i="3"/>
  <c r="F220" i="3"/>
  <c r="I219" i="3"/>
  <c r="H219" i="3"/>
  <c r="G219" i="3"/>
  <c r="F219" i="3"/>
  <c r="I218" i="3"/>
  <c r="H218" i="3"/>
  <c r="G218" i="3"/>
  <c r="F218" i="3"/>
  <c r="I217" i="3"/>
  <c r="H217" i="3"/>
  <c r="G217" i="3"/>
  <c r="F217" i="3"/>
  <c r="I216" i="3"/>
  <c r="H216" i="3"/>
  <c r="G216" i="3"/>
  <c r="F216" i="3"/>
  <c r="I215" i="3"/>
  <c r="H215" i="3"/>
  <c r="G215" i="3"/>
  <c r="F215" i="3"/>
  <c r="I214" i="3"/>
  <c r="H214" i="3"/>
  <c r="G214" i="3"/>
  <c r="F214" i="3"/>
  <c r="I213" i="3"/>
  <c r="H213" i="3"/>
  <c r="G213" i="3"/>
  <c r="F213" i="3"/>
  <c r="I212" i="3"/>
  <c r="H212" i="3"/>
  <c r="G212" i="3"/>
  <c r="F212" i="3"/>
  <c r="J212" i="3" s="1"/>
  <c r="I211" i="3"/>
  <c r="H211" i="3"/>
  <c r="G211" i="3"/>
  <c r="F211" i="3"/>
  <c r="I210" i="3"/>
  <c r="H210" i="3"/>
  <c r="G210" i="3"/>
  <c r="F210" i="3"/>
  <c r="I209" i="3"/>
  <c r="H209" i="3"/>
  <c r="G209" i="3"/>
  <c r="F209" i="3"/>
  <c r="I208" i="3"/>
  <c r="H208" i="3"/>
  <c r="G208" i="3"/>
  <c r="F208" i="3"/>
  <c r="J208" i="3" s="1"/>
  <c r="I207" i="3"/>
  <c r="H207" i="3"/>
  <c r="G207" i="3"/>
  <c r="F207" i="3"/>
  <c r="I206" i="3"/>
  <c r="H206" i="3"/>
  <c r="G206" i="3"/>
  <c r="F206" i="3"/>
  <c r="I205" i="3"/>
  <c r="H205" i="3"/>
  <c r="G205" i="3"/>
  <c r="F205" i="3"/>
  <c r="I204" i="3"/>
  <c r="H204" i="3"/>
  <c r="G204" i="3"/>
  <c r="F204" i="3"/>
  <c r="I203" i="3"/>
  <c r="H203" i="3"/>
  <c r="G203" i="3"/>
  <c r="F203" i="3"/>
  <c r="I202" i="3"/>
  <c r="H202" i="3"/>
  <c r="G202" i="3"/>
  <c r="F202" i="3"/>
  <c r="I201" i="3"/>
  <c r="H201" i="3"/>
  <c r="G201" i="3"/>
  <c r="F201" i="3"/>
  <c r="I200" i="3"/>
  <c r="H200" i="3"/>
  <c r="G200" i="3"/>
  <c r="F200" i="3"/>
  <c r="I199" i="3"/>
  <c r="H199" i="3"/>
  <c r="G199" i="3"/>
  <c r="F199" i="3"/>
  <c r="I198" i="3"/>
  <c r="H198" i="3"/>
  <c r="G198" i="3"/>
  <c r="F198" i="3"/>
  <c r="I197" i="3"/>
  <c r="H197" i="3"/>
  <c r="G197" i="3"/>
  <c r="F197" i="3"/>
  <c r="I196" i="3"/>
  <c r="H196" i="3"/>
  <c r="G196" i="3"/>
  <c r="F196" i="3"/>
  <c r="I195" i="3"/>
  <c r="H195" i="3"/>
  <c r="G195" i="3"/>
  <c r="F195" i="3"/>
  <c r="I194" i="3"/>
  <c r="H194" i="3"/>
  <c r="G194" i="3"/>
  <c r="F194" i="3"/>
  <c r="I193" i="3"/>
  <c r="H193" i="3"/>
  <c r="G193" i="3"/>
  <c r="F193" i="3"/>
  <c r="I192" i="3"/>
  <c r="H192" i="3"/>
  <c r="G192" i="3"/>
  <c r="F192" i="3"/>
  <c r="I191" i="3"/>
  <c r="H191" i="3"/>
  <c r="G191" i="3"/>
  <c r="F191" i="3"/>
  <c r="I190" i="3"/>
  <c r="H190" i="3"/>
  <c r="G190" i="3"/>
  <c r="F190" i="3"/>
  <c r="I189" i="3"/>
  <c r="H189" i="3"/>
  <c r="G189" i="3"/>
  <c r="F189" i="3"/>
  <c r="I188" i="3"/>
  <c r="H188" i="3"/>
  <c r="G188" i="3"/>
  <c r="F188" i="3"/>
  <c r="I187" i="3"/>
  <c r="H187" i="3"/>
  <c r="G187" i="3"/>
  <c r="F187" i="3"/>
  <c r="I186" i="3"/>
  <c r="H186" i="3"/>
  <c r="G186" i="3"/>
  <c r="F186" i="3"/>
  <c r="J186" i="3" s="1"/>
  <c r="I185" i="3"/>
  <c r="H185" i="3"/>
  <c r="G185" i="3"/>
  <c r="F185" i="3"/>
  <c r="I184" i="3"/>
  <c r="H184" i="3"/>
  <c r="G184" i="3"/>
  <c r="F184" i="3"/>
  <c r="J184" i="3" s="1"/>
  <c r="I183" i="3"/>
  <c r="H183" i="3"/>
  <c r="G183" i="3"/>
  <c r="F183" i="3"/>
  <c r="I182" i="3"/>
  <c r="H182" i="3"/>
  <c r="G182" i="3"/>
  <c r="F182" i="3"/>
  <c r="I181" i="3"/>
  <c r="H181" i="3"/>
  <c r="G181" i="3"/>
  <c r="F181" i="3"/>
  <c r="I180" i="3"/>
  <c r="H180" i="3"/>
  <c r="G180" i="3"/>
  <c r="F180" i="3"/>
  <c r="J180" i="3" s="1"/>
  <c r="I179" i="3"/>
  <c r="H179" i="3"/>
  <c r="G179" i="3"/>
  <c r="F179" i="3"/>
  <c r="I178" i="3"/>
  <c r="H178" i="3"/>
  <c r="G178" i="3"/>
  <c r="F178" i="3"/>
  <c r="I177" i="3"/>
  <c r="H177" i="3"/>
  <c r="G177" i="3"/>
  <c r="F177" i="3"/>
  <c r="I176" i="3"/>
  <c r="H176" i="3"/>
  <c r="G176" i="3"/>
  <c r="F176" i="3"/>
  <c r="I175" i="3"/>
  <c r="H175" i="3"/>
  <c r="G175" i="3"/>
  <c r="F175" i="3"/>
  <c r="I174" i="3"/>
  <c r="H174" i="3"/>
  <c r="G174" i="3"/>
  <c r="F174" i="3"/>
  <c r="I173" i="3"/>
  <c r="H173" i="3"/>
  <c r="G173" i="3"/>
  <c r="F173" i="3"/>
  <c r="I172" i="3"/>
  <c r="H172" i="3"/>
  <c r="G172" i="3"/>
  <c r="F172" i="3"/>
  <c r="I171" i="3"/>
  <c r="H171" i="3"/>
  <c r="G171" i="3"/>
  <c r="F171" i="3"/>
  <c r="I170" i="3"/>
  <c r="H170" i="3"/>
  <c r="G170" i="3"/>
  <c r="F170" i="3"/>
  <c r="I169" i="3"/>
  <c r="H169" i="3"/>
  <c r="G169" i="3"/>
  <c r="F169" i="3"/>
  <c r="I168" i="3"/>
  <c r="H168" i="3"/>
  <c r="G168" i="3"/>
  <c r="F168" i="3"/>
  <c r="I167" i="3"/>
  <c r="H167" i="3"/>
  <c r="G167" i="3"/>
  <c r="F167" i="3"/>
  <c r="I166" i="3"/>
  <c r="H166" i="3"/>
  <c r="G166" i="3"/>
  <c r="F166" i="3"/>
  <c r="I165" i="3"/>
  <c r="H165" i="3"/>
  <c r="G165" i="3"/>
  <c r="F165" i="3"/>
  <c r="I164" i="3"/>
  <c r="H164" i="3"/>
  <c r="G164" i="3"/>
  <c r="F164" i="3"/>
  <c r="I163" i="3"/>
  <c r="H163" i="3"/>
  <c r="G163" i="3"/>
  <c r="F163" i="3"/>
  <c r="I162" i="3"/>
  <c r="H162" i="3"/>
  <c r="G162" i="3"/>
  <c r="F162" i="3"/>
  <c r="I161" i="3"/>
  <c r="H161" i="3"/>
  <c r="G161" i="3"/>
  <c r="F161" i="3"/>
  <c r="I160" i="3"/>
  <c r="H160" i="3"/>
  <c r="G160" i="3"/>
  <c r="F160" i="3"/>
  <c r="I159" i="3"/>
  <c r="H159" i="3"/>
  <c r="G159" i="3"/>
  <c r="F159" i="3"/>
  <c r="I158" i="3"/>
  <c r="H158" i="3"/>
  <c r="G158" i="3"/>
  <c r="F158" i="3"/>
  <c r="J158" i="3" s="1"/>
  <c r="I157" i="3"/>
  <c r="H157" i="3"/>
  <c r="G157" i="3"/>
  <c r="F157" i="3"/>
  <c r="I156" i="3"/>
  <c r="H156" i="3"/>
  <c r="G156" i="3"/>
  <c r="F156" i="3"/>
  <c r="I155" i="3"/>
  <c r="H155" i="3"/>
  <c r="G155" i="3"/>
  <c r="F155" i="3"/>
  <c r="I154" i="3"/>
  <c r="H154" i="3"/>
  <c r="G154" i="3"/>
  <c r="F154" i="3"/>
  <c r="I153" i="3"/>
  <c r="H153" i="3"/>
  <c r="G153" i="3"/>
  <c r="F153" i="3"/>
  <c r="I152" i="3"/>
  <c r="H152" i="3"/>
  <c r="G152" i="3"/>
  <c r="F152" i="3"/>
  <c r="I151" i="3"/>
  <c r="H151" i="3"/>
  <c r="G151" i="3"/>
  <c r="F151" i="3"/>
  <c r="I150" i="3"/>
  <c r="H150" i="3"/>
  <c r="G150" i="3"/>
  <c r="F150" i="3"/>
  <c r="I149" i="3"/>
  <c r="H149" i="3"/>
  <c r="G149" i="3"/>
  <c r="F149" i="3"/>
  <c r="I148" i="3"/>
  <c r="H148" i="3"/>
  <c r="G148" i="3"/>
  <c r="F148" i="3"/>
  <c r="I147" i="3"/>
  <c r="H147" i="3"/>
  <c r="G147" i="3"/>
  <c r="F147" i="3"/>
  <c r="I146" i="3"/>
  <c r="H146" i="3"/>
  <c r="G146" i="3"/>
  <c r="F146" i="3"/>
  <c r="I145" i="3"/>
  <c r="H145" i="3"/>
  <c r="G145" i="3"/>
  <c r="F145" i="3"/>
  <c r="I144" i="3"/>
  <c r="H144" i="3"/>
  <c r="G144" i="3"/>
  <c r="F144" i="3"/>
  <c r="I143" i="3"/>
  <c r="H143" i="3"/>
  <c r="G143" i="3"/>
  <c r="F143" i="3"/>
  <c r="I142" i="3"/>
  <c r="H142" i="3"/>
  <c r="G142" i="3"/>
  <c r="F142" i="3"/>
  <c r="I141" i="3"/>
  <c r="H141" i="3"/>
  <c r="G141" i="3"/>
  <c r="F141" i="3"/>
  <c r="I140" i="3"/>
  <c r="H140" i="3"/>
  <c r="G140" i="3"/>
  <c r="F140" i="3"/>
  <c r="J140" i="3" s="1"/>
  <c r="I139" i="3"/>
  <c r="H139" i="3"/>
  <c r="G139" i="3"/>
  <c r="F139" i="3"/>
  <c r="I138" i="3"/>
  <c r="H138" i="3"/>
  <c r="G138" i="3"/>
  <c r="F138" i="3"/>
  <c r="I137" i="3"/>
  <c r="H137" i="3"/>
  <c r="G137" i="3"/>
  <c r="F137" i="3"/>
  <c r="I136" i="3"/>
  <c r="H136" i="3"/>
  <c r="G136" i="3"/>
  <c r="F136" i="3"/>
  <c r="I135" i="3"/>
  <c r="H135" i="3"/>
  <c r="G135" i="3"/>
  <c r="F135" i="3"/>
  <c r="I134" i="3"/>
  <c r="H134" i="3"/>
  <c r="G134" i="3"/>
  <c r="F134" i="3"/>
  <c r="I133" i="3"/>
  <c r="H133" i="3"/>
  <c r="G133" i="3"/>
  <c r="F133" i="3"/>
  <c r="I132" i="3"/>
  <c r="H132" i="3"/>
  <c r="G132" i="3"/>
  <c r="F132" i="3"/>
  <c r="J132" i="3" s="1"/>
  <c r="I131" i="3"/>
  <c r="H131" i="3"/>
  <c r="G131" i="3"/>
  <c r="F131" i="3"/>
  <c r="I130" i="3"/>
  <c r="H130" i="3"/>
  <c r="G130" i="3"/>
  <c r="F130" i="3"/>
  <c r="I129" i="3"/>
  <c r="H129" i="3"/>
  <c r="G129" i="3"/>
  <c r="F129" i="3"/>
  <c r="I128" i="3"/>
  <c r="H128" i="3"/>
  <c r="G128" i="3"/>
  <c r="F128" i="3"/>
  <c r="I127" i="3"/>
  <c r="H127" i="3"/>
  <c r="G127" i="3"/>
  <c r="F127" i="3"/>
  <c r="I126" i="3"/>
  <c r="H126" i="3"/>
  <c r="G126" i="3"/>
  <c r="F126" i="3"/>
  <c r="I125" i="3"/>
  <c r="H125" i="3"/>
  <c r="G125" i="3"/>
  <c r="F125" i="3"/>
  <c r="I124" i="3"/>
  <c r="H124" i="3"/>
  <c r="G124" i="3"/>
  <c r="F124" i="3"/>
  <c r="I123" i="3"/>
  <c r="H123" i="3"/>
  <c r="G123" i="3"/>
  <c r="F123" i="3"/>
  <c r="I122" i="3"/>
  <c r="H122" i="3"/>
  <c r="G122" i="3"/>
  <c r="F122" i="3"/>
  <c r="I121" i="3"/>
  <c r="H121" i="3"/>
  <c r="G121" i="3"/>
  <c r="F121" i="3"/>
  <c r="I120" i="3"/>
  <c r="H120" i="3"/>
  <c r="G120" i="3"/>
  <c r="F120" i="3"/>
  <c r="I119" i="3"/>
  <c r="H119" i="3"/>
  <c r="G119" i="3"/>
  <c r="F119" i="3"/>
  <c r="I118" i="3"/>
  <c r="H118" i="3"/>
  <c r="G118" i="3"/>
  <c r="F118" i="3"/>
  <c r="I117" i="3"/>
  <c r="H117" i="3"/>
  <c r="G117" i="3"/>
  <c r="F117" i="3"/>
  <c r="I116" i="3"/>
  <c r="H116" i="3"/>
  <c r="G116" i="3"/>
  <c r="F116" i="3"/>
  <c r="I115" i="3"/>
  <c r="H115" i="3"/>
  <c r="G115" i="3"/>
  <c r="F115" i="3"/>
  <c r="I114" i="3"/>
  <c r="H114" i="3"/>
  <c r="G114" i="3"/>
  <c r="F114" i="3"/>
  <c r="I113" i="3"/>
  <c r="H113" i="3"/>
  <c r="G113" i="3"/>
  <c r="F113" i="3"/>
  <c r="I112" i="3"/>
  <c r="H112" i="3"/>
  <c r="G112" i="3"/>
  <c r="F112" i="3"/>
  <c r="I111" i="3"/>
  <c r="H111" i="3"/>
  <c r="G111" i="3"/>
  <c r="F111" i="3"/>
  <c r="I110" i="3"/>
  <c r="H110" i="3"/>
  <c r="G110" i="3"/>
  <c r="F110" i="3"/>
  <c r="I109" i="3"/>
  <c r="H109" i="3"/>
  <c r="G109" i="3"/>
  <c r="F109" i="3"/>
  <c r="I108" i="3"/>
  <c r="H108" i="3"/>
  <c r="G108" i="3"/>
  <c r="F108" i="3"/>
  <c r="I107" i="3"/>
  <c r="H107" i="3"/>
  <c r="G107" i="3"/>
  <c r="F107" i="3"/>
  <c r="I106" i="3"/>
  <c r="H106" i="3"/>
  <c r="G106" i="3"/>
  <c r="F106" i="3"/>
  <c r="J106" i="3" s="1"/>
  <c r="I105" i="3"/>
  <c r="H105" i="3"/>
  <c r="G105" i="3"/>
  <c r="F105" i="3"/>
  <c r="I104" i="3"/>
  <c r="H104" i="3"/>
  <c r="G104" i="3"/>
  <c r="F104" i="3"/>
  <c r="I103" i="3"/>
  <c r="H103" i="3"/>
  <c r="G103" i="3"/>
  <c r="F103" i="3"/>
  <c r="I102" i="3"/>
  <c r="H102" i="3"/>
  <c r="G102" i="3"/>
  <c r="F102" i="3"/>
  <c r="I101" i="3"/>
  <c r="H101" i="3"/>
  <c r="G101" i="3"/>
  <c r="F101" i="3"/>
  <c r="I100" i="3"/>
  <c r="H100" i="3"/>
  <c r="G100" i="3"/>
  <c r="F100" i="3"/>
  <c r="J100" i="3" s="1"/>
  <c r="I99" i="3"/>
  <c r="H99" i="3"/>
  <c r="G99" i="3"/>
  <c r="F99" i="3"/>
  <c r="I98" i="3"/>
  <c r="H98" i="3"/>
  <c r="G98" i="3"/>
  <c r="F98" i="3"/>
  <c r="J98" i="3" s="1"/>
  <c r="I97" i="3"/>
  <c r="H97" i="3"/>
  <c r="G97" i="3"/>
  <c r="F97" i="3"/>
  <c r="I96" i="3"/>
  <c r="H96" i="3"/>
  <c r="G96" i="3"/>
  <c r="F96" i="3"/>
  <c r="I95" i="3"/>
  <c r="H95" i="3"/>
  <c r="G95" i="3"/>
  <c r="F95" i="3"/>
  <c r="I94" i="3"/>
  <c r="H94" i="3"/>
  <c r="G94" i="3"/>
  <c r="F94" i="3"/>
  <c r="J94" i="3" s="1"/>
  <c r="I93" i="3"/>
  <c r="H93" i="3"/>
  <c r="G93" i="3"/>
  <c r="F93" i="3"/>
  <c r="I92" i="3"/>
  <c r="H92" i="3"/>
  <c r="G92" i="3"/>
  <c r="F92" i="3"/>
  <c r="I91" i="3"/>
  <c r="H91" i="3"/>
  <c r="G91" i="3"/>
  <c r="F91" i="3"/>
  <c r="I90" i="3"/>
  <c r="H90" i="3"/>
  <c r="G90" i="3"/>
  <c r="F90" i="3"/>
  <c r="J90" i="3" s="1"/>
  <c r="I89" i="3"/>
  <c r="H89" i="3"/>
  <c r="G89" i="3"/>
  <c r="F89" i="3"/>
  <c r="I88" i="3"/>
  <c r="H88" i="3"/>
  <c r="G88" i="3"/>
  <c r="F88" i="3"/>
  <c r="I87" i="3"/>
  <c r="H87" i="3"/>
  <c r="G87" i="3"/>
  <c r="F87" i="3"/>
  <c r="I86" i="3"/>
  <c r="H86" i="3"/>
  <c r="G86" i="3"/>
  <c r="F86" i="3"/>
  <c r="J86" i="3" s="1"/>
  <c r="I85" i="3"/>
  <c r="H85" i="3"/>
  <c r="G85" i="3"/>
  <c r="F85" i="3"/>
  <c r="I84" i="3"/>
  <c r="H84" i="3"/>
  <c r="G84" i="3"/>
  <c r="F84" i="3"/>
  <c r="I83" i="3"/>
  <c r="H83" i="3"/>
  <c r="G83" i="3"/>
  <c r="F83" i="3"/>
  <c r="I82" i="3"/>
  <c r="H82" i="3"/>
  <c r="G82" i="3"/>
  <c r="F82" i="3"/>
  <c r="I81" i="3"/>
  <c r="H81" i="3"/>
  <c r="G81" i="3"/>
  <c r="F81" i="3"/>
  <c r="I80" i="3"/>
  <c r="H80" i="3"/>
  <c r="G80" i="3"/>
  <c r="F80" i="3"/>
  <c r="I79" i="3"/>
  <c r="H79" i="3"/>
  <c r="G79" i="3"/>
  <c r="F79" i="3"/>
  <c r="I78" i="3"/>
  <c r="H78" i="3"/>
  <c r="G78" i="3"/>
  <c r="F78" i="3"/>
  <c r="I77" i="3"/>
  <c r="H77" i="3"/>
  <c r="G77" i="3"/>
  <c r="F77" i="3"/>
  <c r="I76" i="3"/>
  <c r="H76" i="3"/>
  <c r="G76" i="3"/>
  <c r="F76" i="3"/>
  <c r="I75" i="3"/>
  <c r="H75" i="3"/>
  <c r="G75" i="3"/>
  <c r="F75" i="3"/>
  <c r="I74" i="3"/>
  <c r="H74" i="3"/>
  <c r="G74" i="3"/>
  <c r="F74" i="3"/>
  <c r="I73" i="3"/>
  <c r="H73" i="3"/>
  <c r="G73" i="3"/>
  <c r="F73" i="3"/>
  <c r="I72" i="3"/>
  <c r="H72" i="3"/>
  <c r="G72" i="3"/>
  <c r="F72" i="3"/>
  <c r="I71" i="3"/>
  <c r="H71" i="3"/>
  <c r="G71" i="3"/>
  <c r="F71" i="3"/>
  <c r="I70" i="3"/>
  <c r="H70" i="3"/>
  <c r="G70" i="3"/>
  <c r="F70" i="3"/>
  <c r="I69" i="3"/>
  <c r="H69" i="3"/>
  <c r="G69" i="3"/>
  <c r="F69" i="3"/>
  <c r="I68" i="3"/>
  <c r="H68" i="3"/>
  <c r="G68" i="3"/>
  <c r="F68" i="3"/>
  <c r="I67" i="3"/>
  <c r="H67" i="3"/>
  <c r="G67" i="3"/>
  <c r="F67" i="3"/>
  <c r="I66" i="3"/>
  <c r="H66" i="3"/>
  <c r="G66" i="3"/>
  <c r="F66" i="3"/>
  <c r="I65" i="3"/>
  <c r="H65" i="3"/>
  <c r="G65" i="3"/>
  <c r="F65" i="3"/>
  <c r="I64" i="3"/>
  <c r="H64" i="3"/>
  <c r="G64" i="3"/>
  <c r="F64" i="3"/>
  <c r="I63" i="3"/>
  <c r="H63" i="3"/>
  <c r="G63" i="3"/>
  <c r="F63" i="3"/>
  <c r="I62" i="3"/>
  <c r="H62" i="3"/>
  <c r="G62" i="3"/>
  <c r="F62" i="3"/>
  <c r="I61" i="3"/>
  <c r="H61" i="3"/>
  <c r="G61" i="3"/>
  <c r="F61" i="3"/>
  <c r="I60" i="3"/>
  <c r="H60" i="3"/>
  <c r="G60" i="3"/>
  <c r="F60" i="3"/>
  <c r="I59" i="3"/>
  <c r="H59" i="3"/>
  <c r="G59" i="3"/>
  <c r="F59" i="3"/>
  <c r="I58" i="3"/>
  <c r="H58" i="3"/>
  <c r="G58" i="3"/>
  <c r="F58" i="3"/>
  <c r="I57" i="3"/>
  <c r="H57" i="3"/>
  <c r="G57" i="3"/>
  <c r="F57" i="3"/>
  <c r="I56" i="3"/>
  <c r="H56" i="3"/>
  <c r="G56" i="3"/>
  <c r="F56" i="3"/>
  <c r="I55" i="3"/>
  <c r="H55" i="3"/>
  <c r="G55" i="3"/>
  <c r="F55" i="3"/>
  <c r="I54" i="3"/>
  <c r="H54" i="3"/>
  <c r="G54" i="3"/>
  <c r="F54" i="3"/>
  <c r="I53" i="3"/>
  <c r="H53" i="3"/>
  <c r="G53" i="3"/>
  <c r="F53" i="3"/>
  <c r="I52" i="3"/>
  <c r="H52" i="3"/>
  <c r="G52" i="3"/>
  <c r="F52" i="3"/>
  <c r="I51" i="3"/>
  <c r="H51" i="3"/>
  <c r="G51" i="3"/>
  <c r="F51" i="3"/>
  <c r="I50" i="3"/>
  <c r="H50" i="3"/>
  <c r="G50" i="3"/>
  <c r="F50" i="3"/>
  <c r="I49" i="3"/>
  <c r="H49" i="3"/>
  <c r="G49" i="3"/>
  <c r="F49" i="3"/>
  <c r="I48" i="3"/>
  <c r="H48" i="3"/>
  <c r="G48" i="3"/>
  <c r="F48" i="3"/>
  <c r="I47" i="3"/>
  <c r="H47" i="3"/>
  <c r="G47" i="3"/>
  <c r="F47" i="3"/>
  <c r="I46" i="3"/>
  <c r="H46" i="3"/>
  <c r="G46" i="3"/>
  <c r="F46" i="3"/>
  <c r="J46" i="3" s="1"/>
  <c r="I45" i="3"/>
  <c r="H45" i="3"/>
  <c r="G45" i="3"/>
  <c r="F45" i="3"/>
  <c r="I44" i="3"/>
  <c r="H44" i="3"/>
  <c r="G44" i="3"/>
  <c r="F44" i="3"/>
  <c r="I43" i="3"/>
  <c r="H43" i="3"/>
  <c r="G43" i="3"/>
  <c r="F43" i="3"/>
  <c r="I42" i="3"/>
  <c r="H42" i="3"/>
  <c r="G42" i="3"/>
  <c r="F42" i="3"/>
  <c r="I41" i="3"/>
  <c r="H41" i="3"/>
  <c r="G41" i="3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J38" i="3" s="1"/>
  <c r="I37" i="3"/>
  <c r="H37" i="3"/>
  <c r="G37" i="3"/>
  <c r="F37" i="3"/>
  <c r="I36" i="3"/>
  <c r="H36" i="3"/>
  <c r="G36" i="3"/>
  <c r="F36" i="3"/>
  <c r="J36" i="3" s="1"/>
  <c r="I35" i="3"/>
  <c r="H35" i="3"/>
  <c r="G35" i="3"/>
  <c r="F35" i="3"/>
  <c r="I34" i="3"/>
  <c r="H34" i="3"/>
  <c r="G34" i="3"/>
  <c r="F34" i="3"/>
  <c r="I33" i="3"/>
  <c r="H33" i="3"/>
  <c r="G33" i="3"/>
  <c r="F33" i="3"/>
  <c r="I32" i="3"/>
  <c r="H32" i="3"/>
  <c r="G32" i="3"/>
  <c r="F32" i="3"/>
  <c r="J32" i="3" s="1"/>
  <c r="I31" i="3"/>
  <c r="H31" i="3"/>
  <c r="G31" i="3"/>
  <c r="F31" i="3"/>
  <c r="I30" i="3"/>
  <c r="H30" i="3"/>
  <c r="G30" i="3"/>
  <c r="F30" i="3"/>
  <c r="I29" i="3"/>
  <c r="H29" i="3"/>
  <c r="G29" i="3"/>
  <c r="F29" i="3"/>
  <c r="I28" i="3"/>
  <c r="H28" i="3"/>
  <c r="G28" i="3"/>
  <c r="F28" i="3"/>
  <c r="I27" i="3"/>
  <c r="H27" i="3"/>
  <c r="G27" i="3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F23" i="3"/>
  <c r="I22" i="3"/>
  <c r="H22" i="3"/>
  <c r="G22" i="3"/>
  <c r="F22" i="3"/>
  <c r="I21" i="3"/>
  <c r="H21" i="3"/>
  <c r="G21" i="3"/>
  <c r="F21" i="3"/>
  <c r="I20" i="3"/>
  <c r="H20" i="3"/>
  <c r="G20" i="3"/>
  <c r="F20" i="3"/>
  <c r="I19" i="3"/>
  <c r="H19" i="3"/>
  <c r="G19" i="3"/>
  <c r="F19" i="3"/>
  <c r="I18" i="3"/>
  <c r="H18" i="3"/>
  <c r="G18" i="3"/>
  <c r="F18" i="3"/>
  <c r="J18" i="3" s="1"/>
  <c r="I17" i="3"/>
  <c r="H17" i="3"/>
  <c r="G17" i="3"/>
  <c r="F17" i="3"/>
  <c r="I16" i="3"/>
  <c r="H16" i="3"/>
  <c r="G16" i="3"/>
  <c r="F16" i="3"/>
  <c r="I15" i="3"/>
  <c r="H15" i="3"/>
  <c r="G15" i="3"/>
  <c r="F15" i="3"/>
  <c r="I14" i="3"/>
  <c r="H14" i="3"/>
  <c r="G14" i="3"/>
  <c r="F14" i="3"/>
  <c r="I13" i="3"/>
  <c r="H13" i="3"/>
  <c r="G13" i="3"/>
  <c r="F13" i="3"/>
  <c r="I12" i="3"/>
  <c r="H12" i="3"/>
  <c r="G12" i="3"/>
  <c r="F12" i="3"/>
  <c r="I11" i="3"/>
  <c r="H11" i="3"/>
  <c r="G11" i="3"/>
  <c r="F11" i="3"/>
  <c r="I10" i="3"/>
  <c r="H10" i="3"/>
  <c r="G10" i="3"/>
  <c r="F10" i="3"/>
  <c r="I9" i="3"/>
  <c r="H9" i="3"/>
  <c r="G9" i="3"/>
  <c r="F9" i="3"/>
  <c r="M8" i="3"/>
  <c r="I8" i="3"/>
  <c r="H8" i="3"/>
  <c r="G8" i="3"/>
  <c r="F8" i="3"/>
  <c r="J8" i="3" s="1"/>
  <c r="M7" i="3"/>
  <c r="C7" i="3" s="1"/>
  <c r="I7" i="3"/>
  <c r="H7" i="3"/>
  <c r="G7" i="3"/>
  <c r="F7" i="3"/>
  <c r="J7" i="3" s="1"/>
  <c r="M6" i="3"/>
  <c r="C6" i="3" s="1"/>
  <c r="I6" i="3"/>
  <c r="H6" i="3"/>
  <c r="G6" i="3"/>
  <c r="F6" i="3"/>
  <c r="J6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I5" i="3"/>
  <c r="H5" i="3"/>
  <c r="G5" i="3"/>
  <c r="F5" i="3"/>
  <c r="J5" i="3" s="1"/>
  <c r="C5" i="3"/>
  <c r="V1" i="3"/>
  <c r="E2" i="3"/>
  <c r="J505" i="3" l="1"/>
  <c r="J504" i="3"/>
  <c r="J503" i="3"/>
  <c r="J502" i="3"/>
  <c r="J500" i="3"/>
  <c r="J499" i="3"/>
  <c r="J498" i="3"/>
  <c r="J497" i="3"/>
  <c r="J496" i="3"/>
  <c r="J494" i="3"/>
  <c r="J493" i="3"/>
  <c r="J492" i="3"/>
  <c r="J491" i="3"/>
  <c r="J490" i="3"/>
  <c r="J489" i="3"/>
  <c r="J488" i="3"/>
  <c r="J487" i="3"/>
  <c r="J486" i="3"/>
  <c r="J485" i="3"/>
  <c r="J484" i="3"/>
  <c r="J482" i="3"/>
  <c r="J481" i="3"/>
  <c r="J480" i="3"/>
  <c r="J479" i="3"/>
  <c r="J477" i="3"/>
  <c r="J476" i="3"/>
  <c r="J475" i="3"/>
  <c r="J474" i="3"/>
  <c r="J473" i="3"/>
  <c r="J472" i="3"/>
  <c r="J471" i="3"/>
  <c r="J470" i="3"/>
  <c r="J469" i="3"/>
  <c r="J468" i="3"/>
  <c r="J467" i="3"/>
  <c r="J466" i="3"/>
  <c r="J465" i="3"/>
  <c r="J464" i="3"/>
  <c r="J463" i="3"/>
  <c r="J462" i="3"/>
  <c r="J461" i="3"/>
  <c r="J460" i="3"/>
  <c r="J459" i="3"/>
  <c r="J458" i="3"/>
  <c r="J457" i="3"/>
  <c r="J456" i="3"/>
  <c r="J455" i="3"/>
  <c r="J454" i="3"/>
  <c r="J453" i="3"/>
  <c r="J452" i="3"/>
  <c r="J450" i="3"/>
  <c r="J449" i="3"/>
  <c r="J448" i="3"/>
  <c r="J446" i="3"/>
  <c r="J445" i="3"/>
  <c r="J444" i="3"/>
  <c r="J443" i="3"/>
  <c r="J442" i="3"/>
  <c r="J441" i="3"/>
  <c r="J440" i="3"/>
  <c r="J438" i="3"/>
  <c r="J436" i="3"/>
  <c r="J435" i="3"/>
  <c r="J434" i="3"/>
  <c r="J432" i="3"/>
  <c r="J431" i="3"/>
  <c r="J430" i="3"/>
  <c r="J429" i="3"/>
  <c r="J428" i="3"/>
  <c r="J427" i="3"/>
  <c r="J426" i="3"/>
  <c r="J425" i="3"/>
  <c r="J424" i="3"/>
  <c r="J423" i="3"/>
  <c r="J421" i="3"/>
  <c r="J420" i="3"/>
  <c r="J419" i="3"/>
  <c r="J418" i="3"/>
  <c r="J416" i="3"/>
  <c r="J415" i="3"/>
  <c r="J414" i="3"/>
  <c r="J413" i="3"/>
  <c r="J412" i="3"/>
  <c r="J411" i="3"/>
  <c r="J410" i="3"/>
  <c r="J409" i="3"/>
  <c r="J408" i="3"/>
  <c r="J407" i="3"/>
  <c r="J406" i="3"/>
  <c r="J405" i="3"/>
  <c r="J404" i="3"/>
  <c r="J402" i="3"/>
  <c r="J401" i="3"/>
  <c r="J400" i="3"/>
  <c r="J398" i="3"/>
  <c r="J397" i="3"/>
  <c r="J396" i="3"/>
  <c r="J395" i="3"/>
  <c r="J392" i="3"/>
  <c r="J391" i="3"/>
  <c r="J390" i="3"/>
  <c r="J389" i="3"/>
  <c r="J388" i="3"/>
  <c r="J387" i="3"/>
  <c r="J386" i="3"/>
  <c r="J385" i="3"/>
  <c r="J384" i="3"/>
  <c r="J383" i="3"/>
  <c r="J381" i="3"/>
  <c r="J380" i="3"/>
  <c r="J376" i="3"/>
  <c r="J368" i="3"/>
  <c r="J364" i="3"/>
  <c r="J360" i="3"/>
  <c r="J356" i="3"/>
  <c r="J352" i="3"/>
  <c r="J348" i="3"/>
  <c r="J344" i="3"/>
  <c r="J340" i="3"/>
  <c r="J336" i="3"/>
  <c r="J328" i="3"/>
  <c r="J324" i="3"/>
  <c r="J320" i="3"/>
  <c r="J316" i="3"/>
  <c r="J312" i="3"/>
  <c r="J308" i="3"/>
  <c r="J300" i="3"/>
  <c r="J292" i="3"/>
  <c r="J284" i="3"/>
  <c r="J276" i="3"/>
  <c r="J268" i="3"/>
  <c r="J260" i="3"/>
  <c r="J254" i="3"/>
  <c r="J253" i="3"/>
  <c r="J252" i="3"/>
  <c r="J249" i="3"/>
  <c r="J248" i="3"/>
  <c r="J247" i="3"/>
  <c r="J245" i="3"/>
  <c r="J244" i="3"/>
  <c r="J243" i="3"/>
  <c r="J242" i="3"/>
  <c r="J241" i="3"/>
  <c r="J240" i="3"/>
  <c r="J239" i="3"/>
  <c r="J238" i="3"/>
  <c r="J237" i="3"/>
  <c r="J233" i="3"/>
  <c r="J232" i="3"/>
  <c r="J231" i="3"/>
  <c r="J230" i="3"/>
  <c r="J229" i="3"/>
  <c r="J228" i="3"/>
  <c r="J227" i="3"/>
  <c r="J225" i="3"/>
  <c r="J224" i="3"/>
  <c r="J223" i="3"/>
  <c r="J222" i="3"/>
  <c r="J220" i="3"/>
  <c r="J218" i="3"/>
  <c r="J216" i="3"/>
  <c r="J214" i="3"/>
  <c r="J210" i="3"/>
  <c r="J206" i="3"/>
  <c r="J204" i="3"/>
  <c r="J202" i="3"/>
  <c r="J200" i="3"/>
  <c r="J198" i="3"/>
  <c r="J196" i="3"/>
  <c r="J194" i="3"/>
  <c r="J192" i="3"/>
  <c r="J190" i="3"/>
  <c r="J188" i="3"/>
  <c r="J182" i="3"/>
  <c r="J178" i="3"/>
  <c r="J176" i="3"/>
  <c r="J174" i="3"/>
  <c r="J172" i="3"/>
  <c r="J170" i="3"/>
  <c r="J168" i="3"/>
  <c r="J166" i="3"/>
  <c r="J164" i="3"/>
  <c r="J162" i="3"/>
  <c r="J160" i="3"/>
  <c r="J156" i="3"/>
  <c r="J154" i="3"/>
  <c r="J152" i="3"/>
  <c r="J150" i="3"/>
  <c r="J148" i="3"/>
  <c r="J146" i="3"/>
  <c r="J144" i="3"/>
  <c r="J142" i="3"/>
  <c r="J138" i="3"/>
  <c r="J136" i="3"/>
  <c r="J134" i="3"/>
  <c r="J130" i="3"/>
  <c r="J128" i="3"/>
  <c r="J126" i="3"/>
  <c r="J124" i="3"/>
  <c r="J122" i="3"/>
  <c r="J120" i="3"/>
  <c r="J118" i="3"/>
  <c r="J116" i="3"/>
  <c r="J114" i="3"/>
  <c r="J112" i="3"/>
  <c r="J110" i="3"/>
  <c r="J108" i="3"/>
  <c r="J104" i="3"/>
  <c r="J102" i="3"/>
  <c r="J96" i="3"/>
  <c r="J92" i="3"/>
  <c r="J88" i="3"/>
  <c r="J84" i="3"/>
  <c r="J82" i="3"/>
  <c r="J80" i="3"/>
  <c r="J78" i="3"/>
  <c r="J76" i="3"/>
  <c r="J74" i="3"/>
  <c r="J72" i="3"/>
  <c r="J70" i="3"/>
  <c r="J68" i="3"/>
  <c r="J66" i="3"/>
  <c r="J64" i="3"/>
  <c r="J62" i="3"/>
  <c r="J60" i="3"/>
  <c r="J58" i="3"/>
  <c r="J56" i="3"/>
  <c r="J54" i="3"/>
  <c r="J52" i="3"/>
  <c r="J50" i="3"/>
  <c r="J48" i="3"/>
  <c r="J44" i="3"/>
  <c r="J42" i="3"/>
  <c r="J40" i="3"/>
  <c r="J34" i="3"/>
  <c r="J30" i="3"/>
  <c r="J28" i="3"/>
  <c r="J26" i="3"/>
  <c r="J24" i="3"/>
  <c r="J22" i="3"/>
  <c r="J20" i="3"/>
  <c r="J16" i="3"/>
  <c r="J14" i="3"/>
  <c r="J12" i="3"/>
  <c r="J10" i="3"/>
  <c r="F2" i="3"/>
  <c r="G2" i="3"/>
  <c r="I2" i="3"/>
  <c r="H2" i="3"/>
  <c r="C8" i="3"/>
  <c r="M9" i="3"/>
  <c r="J11" i="3"/>
  <c r="J15" i="3"/>
  <c r="J19" i="3"/>
  <c r="J21" i="3"/>
  <c r="J27" i="3"/>
  <c r="J31" i="3"/>
  <c r="J35" i="3"/>
  <c r="J39" i="3"/>
  <c r="J41" i="3"/>
  <c r="J45" i="3"/>
  <c r="J51" i="3"/>
  <c r="J55" i="3"/>
  <c r="J59" i="3"/>
  <c r="J63" i="3"/>
  <c r="J67" i="3"/>
  <c r="J69" i="3"/>
  <c r="J75" i="3"/>
  <c r="J79" i="3"/>
  <c r="J83" i="3"/>
  <c r="J87" i="3"/>
  <c r="J91" i="3"/>
  <c r="J95" i="3"/>
  <c r="J99" i="3"/>
  <c r="J103" i="3"/>
  <c r="J107" i="3"/>
  <c r="J111" i="3"/>
  <c r="J115" i="3"/>
  <c r="J119" i="3"/>
  <c r="J123" i="3"/>
  <c r="J127" i="3"/>
  <c r="J131" i="3"/>
  <c r="J135" i="3"/>
  <c r="J139" i="3"/>
  <c r="J143" i="3"/>
  <c r="J147" i="3"/>
  <c r="J151" i="3"/>
  <c r="J155" i="3"/>
  <c r="J159" i="3"/>
  <c r="J163" i="3"/>
  <c r="J167" i="3"/>
  <c r="J171" i="3"/>
  <c r="J175" i="3"/>
  <c r="J177" i="3"/>
  <c r="J191" i="3"/>
  <c r="J195" i="3"/>
  <c r="J197" i="3"/>
  <c r="J199" i="3"/>
  <c r="J201" i="3"/>
  <c r="J203" i="3"/>
  <c r="J205" i="3"/>
  <c r="J207" i="3"/>
  <c r="J209" i="3"/>
  <c r="J211" i="3"/>
  <c r="J213" i="3"/>
  <c r="J215" i="3"/>
  <c r="J217" i="3"/>
  <c r="J219" i="3"/>
  <c r="J221" i="3"/>
  <c r="J226" i="3"/>
  <c r="J256" i="3"/>
  <c r="J264" i="3"/>
  <c r="J272" i="3"/>
  <c r="J280" i="3"/>
  <c r="J288" i="3"/>
  <c r="J296" i="3"/>
  <c r="J304" i="3"/>
  <c r="J9" i="3"/>
  <c r="J13" i="3"/>
  <c r="J17" i="3"/>
  <c r="J23" i="3"/>
  <c r="J25" i="3"/>
  <c r="J29" i="3"/>
  <c r="J33" i="3"/>
  <c r="J37" i="3"/>
  <c r="J43" i="3"/>
  <c r="J47" i="3"/>
  <c r="J49" i="3"/>
  <c r="J53" i="3"/>
  <c r="J57" i="3"/>
  <c r="J61" i="3"/>
  <c r="J65" i="3"/>
  <c r="J71" i="3"/>
  <c r="J73" i="3"/>
  <c r="J77" i="3"/>
  <c r="J81" i="3"/>
  <c r="J85" i="3"/>
  <c r="J89" i="3"/>
  <c r="J93" i="3"/>
  <c r="J97" i="3"/>
  <c r="J101" i="3"/>
  <c r="J105" i="3"/>
  <c r="J109" i="3"/>
  <c r="J113" i="3"/>
  <c r="J117" i="3"/>
  <c r="J121" i="3"/>
  <c r="J125" i="3"/>
  <c r="J129" i="3"/>
  <c r="J133" i="3"/>
  <c r="J137" i="3"/>
  <c r="J141" i="3"/>
  <c r="J145" i="3"/>
  <c r="J149" i="3"/>
  <c r="J153" i="3"/>
  <c r="J157" i="3"/>
  <c r="J161" i="3"/>
  <c r="J165" i="3"/>
  <c r="J169" i="3"/>
  <c r="J173" i="3"/>
  <c r="J179" i="3"/>
  <c r="J181" i="3"/>
  <c r="J183" i="3"/>
  <c r="J185" i="3"/>
  <c r="J187" i="3"/>
  <c r="J189" i="3"/>
  <c r="J193" i="3"/>
  <c r="J258" i="3"/>
  <c r="J262" i="3"/>
  <c r="J266" i="3"/>
  <c r="J270" i="3"/>
  <c r="J274" i="3"/>
  <c r="J278" i="3"/>
  <c r="J282" i="3"/>
  <c r="J286" i="3"/>
  <c r="J290" i="3"/>
  <c r="J294" i="3"/>
  <c r="J298" i="3"/>
  <c r="J302" i="3"/>
  <c r="J306" i="3"/>
  <c r="J310" i="3"/>
  <c r="J314" i="3"/>
  <c r="J318" i="3"/>
  <c r="J322" i="3"/>
  <c r="J326" i="3"/>
  <c r="J330" i="3"/>
  <c r="J334" i="3"/>
  <c r="J338" i="3"/>
  <c r="J342" i="3"/>
  <c r="J346" i="3"/>
  <c r="J350" i="3"/>
  <c r="J354" i="3"/>
  <c r="J358" i="3"/>
  <c r="J362" i="3"/>
  <c r="J366" i="3"/>
  <c r="J370" i="3"/>
  <c r="J374" i="3"/>
  <c r="J378" i="3"/>
  <c r="J257" i="3"/>
  <c r="J259" i="3"/>
  <c r="J261" i="3"/>
  <c r="J263" i="3"/>
  <c r="J265" i="3"/>
  <c r="J267" i="3"/>
  <c r="J269" i="3"/>
  <c r="J271" i="3"/>
  <c r="J273" i="3"/>
  <c r="J275" i="3"/>
  <c r="J277" i="3"/>
  <c r="J279" i="3"/>
  <c r="J281" i="3"/>
  <c r="J283" i="3"/>
  <c r="J285" i="3"/>
  <c r="J287" i="3"/>
  <c r="J289" i="3"/>
  <c r="J291" i="3"/>
  <c r="J293" i="3"/>
  <c r="J295" i="3"/>
  <c r="J297" i="3"/>
  <c r="J299" i="3"/>
  <c r="J301" i="3"/>
  <c r="J303" i="3"/>
  <c r="J305" i="3"/>
  <c r="J307" i="3"/>
  <c r="J309" i="3"/>
  <c r="J311" i="3"/>
  <c r="J313" i="3"/>
  <c r="J315" i="3"/>
  <c r="J317" i="3"/>
  <c r="J319" i="3"/>
  <c r="J321" i="3"/>
  <c r="J323" i="3"/>
  <c r="J325" i="3"/>
  <c r="J327" i="3"/>
  <c r="J329" i="3"/>
  <c r="J331" i="3"/>
  <c r="J333" i="3"/>
  <c r="J335" i="3"/>
  <c r="J337" i="3"/>
  <c r="J339" i="3"/>
  <c r="J341" i="3"/>
  <c r="J343" i="3"/>
  <c r="J345" i="3"/>
  <c r="J347" i="3"/>
  <c r="J349" i="3"/>
  <c r="J351" i="3"/>
  <c r="J353" i="3"/>
  <c r="J355" i="3"/>
  <c r="J357" i="3"/>
  <c r="J359" i="3"/>
  <c r="J361" i="3"/>
  <c r="J363" i="3"/>
  <c r="J365" i="3"/>
  <c r="J367" i="3"/>
  <c r="J369" i="3"/>
  <c r="J371" i="3"/>
  <c r="J373" i="3"/>
  <c r="J375" i="3"/>
  <c r="J377" i="3"/>
  <c r="J379" i="3"/>
  <c r="K508" i="2"/>
  <c r="K507" i="2"/>
  <c r="F406" i="2"/>
  <c r="G406" i="2"/>
  <c r="H406" i="2"/>
  <c r="I406" i="2"/>
  <c r="F407" i="2"/>
  <c r="G407" i="2"/>
  <c r="H407" i="2"/>
  <c r="I407" i="2"/>
  <c r="F408" i="2"/>
  <c r="G408" i="2"/>
  <c r="H408" i="2"/>
  <c r="I408" i="2"/>
  <c r="F409" i="2"/>
  <c r="G409" i="2"/>
  <c r="H409" i="2"/>
  <c r="I409" i="2"/>
  <c r="F410" i="2"/>
  <c r="G410" i="2"/>
  <c r="H410" i="2"/>
  <c r="I410" i="2"/>
  <c r="F411" i="2"/>
  <c r="G411" i="2"/>
  <c r="H411" i="2"/>
  <c r="I411" i="2"/>
  <c r="F412" i="2"/>
  <c r="G412" i="2"/>
  <c r="H412" i="2"/>
  <c r="I412" i="2"/>
  <c r="F413" i="2"/>
  <c r="G413" i="2"/>
  <c r="H413" i="2"/>
  <c r="J413" i="2" s="1"/>
  <c r="I413" i="2"/>
  <c r="F414" i="2"/>
  <c r="G414" i="2"/>
  <c r="H414" i="2"/>
  <c r="I414" i="2"/>
  <c r="F415" i="2"/>
  <c r="G415" i="2"/>
  <c r="H415" i="2"/>
  <c r="I415" i="2"/>
  <c r="F416" i="2"/>
  <c r="G416" i="2"/>
  <c r="H416" i="2"/>
  <c r="I416" i="2"/>
  <c r="F417" i="2"/>
  <c r="G417" i="2"/>
  <c r="H417" i="2"/>
  <c r="I417" i="2"/>
  <c r="F418" i="2"/>
  <c r="G418" i="2"/>
  <c r="H418" i="2"/>
  <c r="I418" i="2"/>
  <c r="F419" i="2"/>
  <c r="G419" i="2"/>
  <c r="H419" i="2"/>
  <c r="I419" i="2"/>
  <c r="F420" i="2"/>
  <c r="G420" i="2"/>
  <c r="H420" i="2"/>
  <c r="I420" i="2"/>
  <c r="F421" i="2"/>
  <c r="G421" i="2"/>
  <c r="H421" i="2"/>
  <c r="I421" i="2"/>
  <c r="F422" i="2"/>
  <c r="G422" i="2"/>
  <c r="H422" i="2"/>
  <c r="I422" i="2"/>
  <c r="F423" i="2"/>
  <c r="G423" i="2"/>
  <c r="H423" i="2"/>
  <c r="I423" i="2"/>
  <c r="F424" i="2"/>
  <c r="G424" i="2"/>
  <c r="H424" i="2"/>
  <c r="I424" i="2"/>
  <c r="F425" i="2"/>
  <c r="G425" i="2"/>
  <c r="H425" i="2"/>
  <c r="I425" i="2"/>
  <c r="F426" i="2"/>
  <c r="G426" i="2"/>
  <c r="H426" i="2"/>
  <c r="I426" i="2"/>
  <c r="F427" i="2"/>
  <c r="G427" i="2"/>
  <c r="H427" i="2"/>
  <c r="I427" i="2"/>
  <c r="F428" i="2"/>
  <c r="G428" i="2"/>
  <c r="H428" i="2"/>
  <c r="I428" i="2"/>
  <c r="F429" i="2"/>
  <c r="G429" i="2"/>
  <c r="H429" i="2"/>
  <c r="I429" i="2"/>
  <c r="F430" i="2"/>
  <c r="G430" i="2"/>
  <c r="H430" i="2"/>
  <c r="I430" i="2"/>
  <c r="F431" i="2"/>
  <c r="G431" i="2"/>
  <c r="H431" i="2"/>
  <c r="I431" i="2"/>
  <c r="F432" i="2"/>
  <c r="G432" i="2"/>
  <c r="H432" i="2"/>
  <c r="I432" i="2"/>
  <c r="F433" i="2"/>
  <c r="G433" i="2"/>
  <c r="H433" i="2"/>
  <c r="I433" i="2"/>
  <c r="F434" i="2"/>
  <c r="G434" i="2"/>
  <c r="H434" i="2"/>
  <c r="I434" i="2"/>
  <c r="F435" i="2"/>
  <c r="G435" i="2"/>
  <c r="H435" i="2"/>
  <c r="I435" i="2"/>
  <c r="F436" i="2"/>
  <c r="G436" i="2"/>
  <c r="H436" i="2"/>
  <c r="I436" i="2"/>
  <c r="F437" i="2"/>
  <c r="G437" i="2"/>
  <c r="H437" i="2"/>
  <c r="I437" i="2"/>
  <c r="F438" i="2"/>
  <c r="G438" i="2"/>
  <c r="H438" i="2"/>
  <c r="I438" i="2"/>
  <c r="F439" i="2"/>
  <c r="G439" i="2"/>
  <c r="H439" i="2"/>
  <c r="I439" i="2"/>
  <c r="F440" i="2"/>
  <c r="G440" i="2"/>
  <c r="H440" i="2"/>
  <c r="I440" i="2"/>
  <c r="F441" i="2"/>
  <c r="G441" i="2"/>
  <c r="H441" i="2"/>
  <c r="I441" i="2"/>
  <c r="F442" i="2"/>
  <c r="G442" i="2"/>
  <c r="H442" i="2"/>
  <c r="I442" i="2"/>
  <c r="F443" i="2"/>
  <c r="G443" i="2"/>
  <c r="H443" i="2"/>
  <c r="I443" i="2"/>
  <c r="F444" i="2"/>
  <c r="G444" i="2"/>
  <c r="H444" i="2"/>
  <c r="I444" i="2"/>
  <c r="F445" i="2"/>
  <c r="G445" i="2"/>
  <c r="H445" i="2"/>
  <c r="J445" i="2" s="1"/>
  <c r="I445" i="2"/>
  <c r="F446" i="2"/>
  <c r="G446" i="2"/>
  <c r="H446" i="2"/>
  <c r="I446" i="2"/>
  <c r="F447" i="2"/>
  <c r="G447" i="2"/>
  <c r="H447" i="2"/>
  <c r="I447" i="2"/>
  <c r="F448" i="2"/>
  <c r="G448" i="2"/>
  <c r="H448" i="2"/>
  <c r="I448" i="2"/>
  <c r="F449" i="2"/>
  <c r="G449" i="2"/>
  <c r="H449" i="2"/>
  <c r="J449" i="2" s="1"/>
  <c r="I449" i="2"/>
  <c r="F450" i="2"/>
  <c r="G450" i="2"/>
  <c r="H450" i="2"/>
  <c r="I450" i="2"/>
  <c r="F451" i="2"/>
  <c r="G451" i="2"/>
  <c r="H451" i="2"/>
  <c r="I451" i="2"/>
  <c r="F452" i="2"/>
  <c r="G452" i="2"/>
  <c r="H452" i="2"/>
  <c r="I452" i="2"/>
  <c r="F453" i="2"/>
  <c r="G453" i="2"/>
  <c r="H453" i="2"/>
  <c r="J453" i="2" s="1"/>
  <c r="I453" i="2"/>
  <c r="F454" i="2"/>
  <c r="G454" i="2"/>
  <c r="H454" i="2"/>
  <c r="I454" i="2"/>
  <c r="F455" i="2"/>
  <c r="G455" i="2"/>
  <c r="H455" i="2"/>
  <c r="I455" i="2"/>
  <c r="F456" i="2"/>
  <c r="G456" i="2"/>
  <c r="H456" i="2"/>
  <c r="I456" i="2"/>
  <c r="F457" i="2"/>
  <c r="G457" i="2"/>
  <c r="H457" i="2"/>
  <c r="I457" i="2"/>
  <c r="F458" i="2"/>
  <c r="G458" i="2"/>
  <c r="H458" i="2"/>
  <c r="I458" i="2"/>
  <c r="F459" i="2"/>
  <c r="G459" i="2"/>
  <c r="H459" i="2"/>
  <c r="I459" i="2"/>
  <c r="F460" i="2"/>
  <c r="G460" i="2"/>
  <c r="H460" i="2"/>
  <c r="I460" i="2"/>
  <c r="F461" i="2"/>
  <c r="G461" i="2"/>
  <c r="H461" i="2"/>
  <c r="I461" i="2"/>
  <c r="F462" i="2"/>
  <c r="G462" i="2"/>
  <c r="H462" i="2"/>
  <c r="I462" i="2"/>
  <c r="F463" i="2"/>
  <c r="G463" i="2"/>
  <c r="H463" i="2"/>
  <c r="I463" i="2"/>
  <c r="F464" i="2"/>
  <c r="G464" i="2"/>
  <c r="H464" i="2"/>
  <c r="I464" i="2"/>
  <c r="F465" i="2"/>
  <c r="G465" i="2"/>
  <c r="H465" i="2"/>
  <c r="I465" i="2"/>
  <c r="F466" i="2"/>
  <c r="G466" i="2"/>
  <c r="H466" i="2"/>
  <c r="I466" i="2"/>
  <c r="F467" i="2"/>
  <c r="G467" i="2"/>
  <c r="H467" i="2"/>
  <c r="I467" i="2"/>
  <c r="F468" i="2"/>
  <c r="G468" i="2"/>
  <c r="H468" i="2"/>
  <c r="I468" i="2"/>
  <c r="F469" i="2"/>
  <c r="G469" i="2"/>
  <c r="H469" i="2"/>
  <c r="I469" i="2"/>
  <c r="F470" i="2"/>
  <c r="G470" i="2"/>
  <c r="H470" i="2"/>
  <c r="I470" i="2"/>
  <c r="F471" i="2"/>
  <c r="G471" i="2"/>
  <c r="H471" i="2"/>
  <c r="I471" i="2"/>
  <c r="F472" i="2"/>
  <c r="G472" i="2"/>
  <c r="H472" i="2"/>
  <c r="I472" i="2"/>
  <c r="F473" i="2"/>
  <c r="G473" i="2"/>
  <c r="H473" i="2"/>
  <c r="I473" i="2"/>
  <c r="F474" i="2"/>
  <c r="G474" i="2"/>
  <c r="H474" i="2"/>
  <c r="I474" i="2"/>
  <c r="F475" i="2"/>
  <c r="G475" i="2"/>
  <c r="H475" i="2"/>
  <c r="I475" i="2"/>
  <c r="F476" i="2"/>
  <c r="G476" i="2"/>
  <c r="H476" i="2"/>
  <c r="I476" i="2"/>
  <c r="F477" i="2"/>
  <c r="G477" i="2"/>
  <c r="H477" i="2"/>
  <c r="J477" i="2" s="1"/>
  <c r="I477" i="2"/>
  <c r="F478" i="2"/>
  <c r="G478" i="2"/>
  <c r="H478" i="2"/>
  <c r="I478" i="2"/>
  <c r="F479" i="2"/>
  <c r="G479" i="2"/>
  <c r="H479" i="2"/>
  <c r="I479" i="2"/>
  <c r="F480" i="2"/>
  <c r="G480" i="2"/>
  <c r="H480" i="2"/>
  <c r="I480" i="2"/>
  <c r="F481" i="2"/>
  <c r="G481" i="2"/>
  <c r="H481" i="2"/>
  <c r="I481" i="2"/>
  <c r="F482" i="2"/>
  <c r="G482" i="2"/>
  <c r="H482" i="2"/>
  <c r="I482" i="2"/>
  <c r="F483" i="2"/>
  <c r="G483" i="2"/>
  <c r="H483" i="2"/>
  <c r="I483" i="2"/>
  <c r="F484" i="2"/>
  <c r="G484" i="2"/>
  <c r="H484" i="2"/>
  <c r="I484" i="2"/>
  <c r="F485" i="2"/>
  <c r="G485" i="2"/>
  <c r="H485" i="2"/>
  <c r="J485" i="2" s="1"/>
  <c r="I485" i="2"/>
  <c r="F486" i="2"/>
  <c r="G486" i="2"/>
  <c r="H486" i="2"/>
  <c r="I486" i="2"/>
  <c r="F487" i="2"/>
  <c r="G487" i="2"/>
  <c r="H487" i="2"/>
  <c r="I487" i="2"/>
  <c r="F488" i="2"/>
  <c r="G488" i="2"/>
  <c r="H488" i="2"/>
  <c r="I488" i="2"/>
  <c r="F489" i="2"/>
  <c r="G489" i="2"/>
  <c r="H489" i="2"/>
  <c r="I489" i="2"/>
  <c r="F490" i="2"/>
  <c r="G490" i="2"/>
  <c r="H490" i="2"/>
  <c r="I490" i="2"/>
  <c r="F491" i="2"/>
  <c r="G491" i="2"/>
  <c r="H491" i="2"/>
  <c r="I491" i="2"/>
  <c r="F492" i="2"/>
  <c r="G492" i="2"/>
  <c r="H492" i="2"/>
  <c r="I492" i="2"/>
  <c r="F493" i="2"/>
  <c r="G493" i="2"/>
  <c r="H493" i="2"/>
  <c r="I493" i="2"/>
  <c r="F494" i="2"/>
  <c r="G494" i="2"/>
  <c r="H494" i="2"/>
  <c r="I494" i="2"/>
  <c r="F495" i="2"/>
  <c r="G495" i="2"/>
  <c r="H495" i="2"/>
  <c r="I495" i="2"/>
  <c r="F496" i="2"/>
  <c r="G496" i="2"/>
  <c r="H496" i="2"/>
  <c r="I496" i="2"/>
  <c r="F497" i="2"/>
  <c r="G497" i="2"/>
  <c r="H497" i="2"/>
  <c r="I497" i="2"/>
  <c r="F498" i="2"/>
  <c r="G498" i="2"/>
  <c r="H498" i="2"/>
  <c r="I498" i="2"/>
  <c r="F499" i="2"/>
  <c r="G499" i="2"/>
  <c r="H499" i="2"/>
  <c r="I499" i="2"/>
  <c r="F500" i="2"/>
  <c r="G500" i="2"/>
  <c r="H500" i="2"/>
  <c r="I500" i="2"/>
  <c r="F501" i="2"/>
  <c r="G501" i="2"/>
  <c r="H501" i="2"/>
  <c r="I501" i="2"/>
  <c r="F502" i="2"/>
  <c r="G502" i="2"/>
  <c r="H502" i="2"/>
  <c r="I502" i="2"/>
  <c r="F503" i="2"/>
  <c r="G503" i="2"/>
  <c r="H503" i="2"/>
  <c r="I503" i="2"/>
  <c r="F504" i="2"/>
  <c r="G504" i="2"/>
  <c r="H504" i="2"/>
  <c r="I504" i="2"/>
  <c r="F505" i="2"/>
  <c r="G505" i="2"/>
  <c r="H505" i="2"/>
  <c r="J505" i="2" s="1"/>
  <c r="I505" i="2"/>
  <c r="J2" i="3" l="1"/>
  <c r="C9" i="3"/>
  <c r="M10" i="3"/>
  <c r="J501" i="2"/>
  <c r="J465" i="2"/>
  <c r="J464" i="2"/>
  <c r="J463" i="2"/>
  <c r="J462" i="2"/>
  <c r="J461" i="2"/>
  <c r="J457" i="2"/>
  <c r="J425" i="2"/>
  <c r="J424" i="2"/>
  <c r="J423" i="2"/>
  <c r="J421" i="2"/>
  <c r="J473" i="2"/>
  <c r="J469" i="2"/>
  <c r="J441" i="2"/>
  <c r="J437" i="2"/>
  <c r="J433" i="2"/>
  <c r="J429" i="2"/>
  <c r="J420" i="2"/>
  <c r="J419" i="2"/>
  <c r="J418" i="2"/>
  <c r="J417" i="2"/>
  <c r="J415" i="2"/>
  <c r="J414" i="2"/>
  <c r="J500" i="2"/>
  <c r="J499" i="2"/>
  <c r="J498" i="2"/>
  <c r="J494" i="2"/>
  <c r="J493" i="2"/>
  <c r="J492" i="2"/>
  <c r="J490" i="2"/>
  <c r="J489" i="2"/>
  <c r="J488" i="2"/>
  <c r="J483" i="2"/>
  <c r="J481" i="2"/>
  <c r="J478" i="2"/>
  <c r="J476" i="2"/>
  <c r="J474" i="2"/>
  <c r="J456" i="2"/>
  <c r="J454" i="2"/>
  <c r="J446" i="2"/>
  <c r="J443" i="2"/>
  <c r="J412" i="2"/>
  <c r="J411" i="2"/>
  <c r="J410" i="2"/>
  <c r="J409" i="2"/>
  <c r="J468" i="2"/>
  <c r="J466" i="2"/>
  <c r="J451" i="2"/>
  <c r="J435" i="2"/>
  <c r="J434" i="2"/>
  <c r="J504" i="2"/>
  <c r="J503" i="2"/>
  <c r="J502" i="2"/>
  <c r="J497" i="2"/>
  <c r="J496" i="2"/>
  <c r="J495" i="2"/>
  <c r="J491" i="2"/>
  <c r="J487" i="2"/>
  <c r="J486" i="2"/>
  <c r="J484" i="2"/>
  <c r="J482" i="2"/>
  <c r="J480" i="2"/>
  <c r="J479" i="2"/>
  <c r="J475" i="2"/>
  <c r="J472" i="2"/>
  <c r="J471" i="2"/>
  <c r="J470" i="2"/>
  <c r="J467" i="2"/>
  <c r="J460" i="2"/>
  <c r="J459" i="2"/>
  <c r="J458" i="2"/>
  <c r="J455" i="2"/>
  <c r="J452" i="2"/>
  <c r="J450" i="2"/>
  <c r="J448" i="2"/>
  <c r="J447" i="2"/>
  <c r="J444" i="2"/>
  <c r="J442" i="2"/>
  <c r="J440" i="2"/>
  <c r="J439" i="2"/>
  <c r="J438" i="2"/>
  <c r="J436" i="2"/>
  <c r="J432" i="2"/>
  <c r="J431" i="2"/>
  <c r="J430" i="2"/>
  <c r="J428" i="2"/>
  <c r="J427" i="2"/>
  <c r="J426" i="2"/>
  <c r="J422" i="2"/>
  <c r="J416" i="2"/>
  <c r="J408" i="2"/>
  <c r="J407" i="2"/>
  <c r="J406" i="2"/>
  <c r="F106" i="2"/>
  <c r="G106" i="2"/>
  <c r="H106" i="2"/>
  <c r="I106" i="2"/>
  <c r="F107" i="2"/>
  <c r="G107" i="2"/>
  <c r="H107" i="2"/>
  <c r="I107" i="2"/>
  <c r="J107" i="2"/>
  <c r="F108" i="2"/>
  <c r="G108" i="2"/>
  <c r="H108" i="2"/>
  <c r="I108" i="2"/>
  <c r="F109" i="2"/>
  <c r="G109" i="2"/>
  <c r="H109" i="2"/>
  <c r="I109" i="2"/>
  <c r="F110" i="2"/>
  <c r="G110" i="2"/>
  <c r="H110" i="2"/>
  <c r="I110" i="2"/>
  <c r="F111" i="2"/>
  <c r="G111" i="2"/>
  <c r="H111" i="2"/>
  <c r="J111" i="2" s="1"/>
  <c r="I111" i="2"/>
  <c r="F112" i="2"/>
  <c r="G112" i="2"/>
  <c r="J112" i="2" s="1"/>
  <c r="H112" i="2"/>
  <c r="I112" i="2"/>
  <c r="F113" i="2"/>
  <c r="G113" i="2"/>
  <c r="H113" i="2"/>
  <c r="I113" i="2"/>
  <c r="F114" i="2"/>
  <c r="G114" i="2"/>
  <c r="H114" i="2"/>
  <c r="I114" i="2"/>
  <c r="F115" i="2"/>
  <c r="G115" i="2"/>
  <c r="H115" i="2"/>
  <c r="I115" i="2"/>
  <c r="F116" i="2"/>
  <c r="G116" i="2"/>
  <c r="H116" i="2"/>
  <c r="I116" i="2"/>
  <c r="F117" i="2"/>
  <c r="G117" i="2"/>
  <c r="H117" i="2"/>
  <c r="I117" i="2"/>
  <c r="F118" i="2"/>
  <c r="G118" i="2"/>
  <c r="H118" i="2"/>
  <c r="I118" i="2"/>
  <c r="F119" i="2"/>
  <c r="G119" i="2"/>
  <c r="H119" i="2"/>
  <c r="J119" i="2" s="1"/>
  <c r="I119" i="2"/>
  <c r="F120" i="2"/>
  <c r="G120" i="2"/>
  <c r="H120" i="2"/>
  <c r="I120" i="2"/>
  <c r="F121" i="2"/>
  <c r="G121" i="2"/>
  <c r="H121" i="2"/>
  <c r="I121" i="2"/>
  <c r="F122" i="2"/>
  <c r="G122" i="2"/>
  <c r="H122" i="2"/>
  <c r="I122" i="2"/>
  <c r="F123" i="2"/>
  <c r="G123" i="2"/>
  <c r="H123" i="2"/>
  <c r="I123" i="2"/>
  <c r="F124" i="2"/>
  <c r="G124" i="2"/>
  <c r="H124" i="2"/>
  <c r="I124" i="2"/>
  <c r="F125" i="2"/>
  <c r="G125" i="2"/>
  <c r="H125" i="2"/>
  <c r="I125" i="2"/>
  <c r="J125" i="2"/>
  <c r="F126" i="2"/>
  <c r="G126" i="2"/>
  <c r="H126" i="2"/>
  <c r="I126" i="2"/>
  <c r="F127" i="2"/>
  <c r="G127" i="2"/>
  <c r="J127" i="2" s="1"/>
  <c r="H127" i="2"/>
  <c r="I127" i="2"/>
  <c r="F128" i="2"/>
  <c r="G128" i="2"/>
  <c r="H128" i="2"/>
  <c r="I128" i="2"/>
  <c r="F129" i="2"/>
  <c r="G129" i="2"/>
  <c r="H129" i="2"/>
  <c r="I129" i="2"/>
  <c r="F130" i="2"/>
  <c r="G130" i="2"/>
  <c r="H130" i="2"/>
  <c r="I130" i="2"/>
  <c r="F131" i="2"/>
  <c r="G131" i="2"/>
  <c r="H131" i="2"/>
  <c r="I131" i="2"/>
  <c r="J131" i="2"/>
  <c r="F132" i="2"/>
  <c r="G132" i="2"/>
  <c r="H132" i="2"/>
  <c r="I132" i="2"/>
  <c r="F133" i="2"/>
  <c r="G133" i="2"/>
  <c r="J133" i="2" s="1"/>
  <c r="H133" i="2"/>
  <c r="I133" i="2"/>
  <c r="F134" i="2"/>
  <c r="G134" i="2"/>
  <c r="H134" i="2"/>
  <c r="I134" i="2"/>
  <c r="F135" i="2"/>
  <c r="G135" i="2"/>
  <c r="H135" i="2"/>
  <c r="I135" i="2"/>
  <c r="F136" i="2"/>
  <c r="G136" i="2"/>
  <c r="H136" i="2"/>
  <c r="I136" i="2"/>
  <c r="F137" i="2"/>
  <c r="G137" i="2"/>
  <c r="H137" i="2"/>
  <c r="I137" i="2"/>
  <c r="F138" i="2"/>
  <c r="G138" i="2"/>
  <c r="H138" i="2"/>
  <c r="I138" i="2"/>
  <c r="F139" i="2"/>
  <c r="G139" i="2"/>
  <c r="H139" i="2"/>
  <c r="I139" i="2"/>
  <c r="F140" i="2"/>
  <c r="G140" i="2"/>
  <c r="H140" i="2"/>
  <c r="I140" i="2"/>
  <c r="F141" i="2"/>
  <c r="G141" i="2"/>
  <c r="H141" i="2"/>
  <c r="I141" i="2"/>
  <c r="F142" i="2"/>
  <c r="G142" i="2"/>
  <c r="H142" i="2"/>
  <c r="I142" i="2"/>
  <c r="F143" i="2"/>
  <c r="G143" i="2"/>
  <c r="H143" i="2"/>
  <c r="I143" i="2"/>
  <c r="F144" i="2"/>
  <c r="G144" i="2"/>
  <c r="H144" i="2"/>
  <c r="I144" i="2"/>
  <c r="F145" i="2"/>
  <c r="J145" i="2" s="1"/>
  <c r="G145" i="2"/>
  <c r="H145" i="2"/>
  <c r="I145" i="2"/>
  <c r="F146" i="2"/>
  <c r="G146" i="2"/>
  <c r="H146" i="2"/>
  <c r="I146" i="2"/>
  <c r="F147" i="2"/>
  <c r="G147" i="2"/>
  <c r="H147" i="2"/>
  <c r="I147" i="2"/>
  <c r="F148" i="2"/>
  <c r="G148" i="2"/>
  <c r="H148" i="2"/>
  <c r="I148" i="2"/>
  <c r="F149" i="2"/>
  <c r="G149" i="2"/>
  <c r="H149" i="2"/>
  <c r="I149" i="2"/>
  <c r="F150" i="2"/>
  <c r="G150" i="2"/>
  <c r="H150" i="2"/>
  <c r="I150" i="2"/>
  <c r="F151" i="2"/>
  <c r="G151" i="2"/>
  <c r="H151" i="2"/>
  <c r="I151" i="2"/>
  <c r="F152" i="2"/>
  <c r="G152" i="2"/>
  <c r="H152" i="2"/>
  <c r="I152" i="2"/>
  <c r="F153" i="2"/>
  <c r="J153" i="2" s="1"/>
  <c r="G153" i="2"/>
  <c r="H153" i="2"/>
  <c r="I153" i="2"/>
  <c r="F154" i="2"/>
  <c r="G154" i="2"/>
  <c r="H154" i="2"/>
  <c r="I154" i="2"/>
  <c r="F155" i="2"/>
  <c r="G155" i="2"/>
  <c r="H155" i="2"/>
  <c r="I155" i="2"/>
  <c r="F156" i="2"/>
  <c r="G156" i="2"/>
  <c r="H156" i="2"/>
  <c r="I156" i="2"/>
  <c r="F157" i="2"/>
  <c r="G157" i="2"/>
  <c r="H157" i="2"/>
  <c r="I157" i="2"/>
  <c r="F158" i="2"/>
  <c r="G158" i="2"/>
  <c r="H158" i="2"/>
  <c r="I158" i="2"/>
  <c r="F159" i="2"/>
  <c r="G159" i="2"/>
  <c r="H159" i="2"/>
  <c r="I159" i="2"/>
  <c r="F160" i="2"/>
  <c r="G160" i="2"/>
  <c r="J160" i="2" s="1"/>
  <c r="H160" i="2"/>
  <c r="I160" i="2"/>
  <c r="F161" i="2"/>
  <c r="G161" i="2"/>
  <c r="H161" i="2"/>
  <c r="I161" i="2"/>
  <c r="F162" i="2"/>
  <c r="G162" i="2"/>
  <c r="H162" i="2"/>
  <c r="I162" i="2"/>
  <c r="F163" i="2"/>
  <c r="G163" i="2"/>
  <c r="H163" i="2"/>
  <c r="I163" i="2"/>
  <c r="F164" i="2"/>
  <c r="G164" i="2"/>
  <c r="H164" i="2"/>
  <c r="I164" i="2"/>
  <c r="F165" i="2"/>
  <c r="G165" i="2"/>
  <c r="H165" i="2"/>
  <c r="I165" i="2"/>
  <c r="F166" i="2"/>
  <c r="G166" i="2"/>
  <c r="H166" i="2"/>
  <c r="I166" i="2"/>
  <c r="F167" i="2"/>
  <c r="G167" i="2"/>
  <c r="H167" i="2"/>
  <c r="I167" i="2"/>
  <c r="F168" i="2"/>
  <c r="G168" i="2"/>
  <c r="J168" i="2" s="1"/>
  <c r="H168" i="2"/>
  <c r="I168" i="2"/>
  <c r="F169" i="2"/>
  <c r="G169" i="2"/>
  <c r="H169" i="2"/>
  <c r="I169" i="2"/>
  <c r="F170" i="2"/>
  <c r="G170" i="2"/>
  <c r="H170" i="2"/>
  <c r="I170" i="2"/>
  <c r="F171" i="2"/>
  <c r="G171" i="2"/>
  <c r="H171" i="2"/>
  <c r="I171" i="2"/>
  <c r="F172" i="2"/>
  <c r="G172" i="2"/>
  <c r="H172" i="2"/>
  <c r="I172" i="2"/>
  <c r="F173" i="2"/>
  <c r="G173" i="2"/>
  <c r="H173" i="2"/>
  <c r="I173" i="2"/>
  <c r="F174" i="2"/>
  <c r="G174" i="2"/>
  <c r="H174" i="2"/>
  <c r="I174" i="2"/>
  <c r="F175" i="2"/>
  <c r="G175" i="2"/>
  <c r="J175" i="2" s="1"/>
  <c r="H175" i="2"/>
  <c r="I175" i="2"/>
  <c r="F176" i="2"/>
  <c r="G176" i="2"/>
  <c r="H176" i="2"/>
  <c r="I176" i="2"/>
  <c r="F177" i="2"/>
  <c r="J177" i="2" s="1"/>
  <c r="G177" i="2"/>
  <c r="H177" i="2"/>
  <c r="I177" i="2"/>
  <c r="F178" i="2"/>
  <c r="G178" i="2"/>
  <c r="H178" i="2"/>
  <c r="I178" i="2"/>
  <c r="F179" i="2"/>
  <c r="G179" i="2"/>
  <c r="H179" i="2"/>
  <c r="I179" i="2"/>
  <c r="F180" i="2"/>
  <c r="G180" i="2"/>
  <c r="H180" i="2"/>
  <c r="I180" i="2"/>
  <c r="F181" i="2"/>
  <c r="G181" i="2"/>
  <c r="H181" i="2"/>
  <c r="I181" i="2"/>
  <c r="F182" i="2"/>
  <c r="G182" i="2"/>
  <c r="H182" i="2"/>
  <c r="I182" i="2"/>
  <c r="F183" i="2"/>
  <c r="G183" i="2"/>
  <c r="J183" i="2" s="1"/>
  <c r="H183" i="2"/>
  <c r="I183" i="2"/>
  <c r="F184" i="2"/>
  <c r="G184" i="2"/>
  <c r="H184" i="2"/>
  <c r="I184" i="2"/>
  <c r="F185" i="2"/>
  <c r="G185" i="2"/>
  <c r="H185" i="2"/>
  <c r="I185" i="2"/>
  <c r="F186" i="2"/>
  <c r="G186" i="2"/>
  <c r="H186" i="2"/>
  <c r="I186" i="2"/>
  <c r="F187" i="2"/>
  <c r="G187" i="2"/>
  <c r="J187" i="2" s="1"/>
  <c r="H187" i="2"/>
  <c r="I187" i="2"/>
  <c r="F188" i="2"/>
  <c r="G188" i="2"/>
  <c r="H188" i="2"/>
  <c r="I188" i="2"/>
  <c r="F189" i="2"/>
  <c r="G189" i="2"/>
  <c r="H189" i="2"/>
  <c r="I189" i="2"/>
  <c r="F190" i="2"/>
  <c r="G190" i="2"/>
  <c r="H190" i="2"/>
  <c r="I190" i="2"/>
  <c r="F191" i="2"/>
  <c r="G191" i="2"/>
  <c r="H191" i="2"/>
  <c r="I191" i="2"/>
  <c r="J191" i="2"/>
  <c r="F192" i="2"/>
  <c r="G192" i="2"/>
  <c r="H192" i="2"/>
  <c r="I192" i="2"/>
  <c r="F193" i="2"/>
  <c r="G193" i="2"/>
  <c r="J193" i="2" s="1"/>
  <c r="H193" i="2"/>
  <c r="I193" i="2"/>
  <c r="F194" i="2"/>
  <c r="G194" i="2"/>
  <c r="H194" i="2"/>
  <c r="I194" i="2"/>
  <c r="F195" i="2"/>
  <c r="G195" i="2"/>
  <c r="H195" i="2"/>
  <c r="I195" i="2"/>
  <c r="F196" i="2"/>
  <c r="G196" i="2"/>
  <c r="H196" i="2"/>
  <c r="I196" i="2"/>
  <c r="F197" i="2"/>
  <c r="G197" i="2"/>
  <c r="H197" i="2"/>
  <c r="I197" i="2"/>
  <c r="F198" i="2"/>
  <c r="G198" i="2"/>
  <c r="H198" i="2"/>
  <c r="I198" i="2"/>
  <c r="F199" i="2"/>
  <c r="G199" i="2"/>
  <c r="H199" i="2"/>
  <c r="I199" i="2"/>
  <c r="F200" i="2"/>
  <c r="G200" i="2"/>
  <c r="H200" i="2"/>
  <c r="I200" i="2"/>
  <c r="F201" i="2"/>
  <c r="G201" i="2"/>
  <c r="H201" i="2"/>
  <c r="I201" i="2"/>
  <c r="F202" i="2"/>
  <c r="G202" i="2"/>
  <c r="H202" i="2"/>
  <c r="I202" i="2"/>
  <c r="F203" i="2"/>
  <c r="G203" i="2"/>
  <c r="H203" i="2"/>
  <c r="I203" i="2"/>
  <c r="F204" i="2"/>
  <c r="G204" i="2"/>
  <c r="H204" i="2"/>
  <c r="I204" i="2"/>
  <c r="F205" i="2"/>
  <c r="G205" i="2"/>
  <c r="J205" i="2" s="1"/>
  <c r="H205" i="2"/>
  <c r="I205" i="2"/>
  <c r="F206" i="2"/>
  <c r="G206" i="2"/>
  <c r="H206" i="2"/>
  <c r="I206" i="2"/>
  <c r="F207" i="2"/>
  <c r="G207" i="2"/>
  <c r="H207" i="2"/>
  <c r="I207" i="2"/>
  <c r="F208" i="2"/>
  <c r="G208" i="2"/>
  <c r="H208" i="2"/>
  <c r="I208" i="2"/>
  <c r="F209" i="2"/>
  <c r="G209" i="2"/>
  <c r="J209" i="2" s="1"/>
  <c r="H209" i="2"/>
  <c r="I209" i="2"/>
  <c r="F210" i="2"/>
  <c r="G210" i="2"/>
  <c r="H210" i="2"/>
  <c r="I210" i="2"/>
  <c r="F211" i="2"/>
  <c r="G211" i="2"/>
  <c r="H211" i="2"/>
  <c r="I211" i="2"/>
  <c r="F212" i="2"/>
  <c r="G212" i="2"/>
  <c r="H212" i="2"/>
  <c r="I212" i="2"/>
  <c r="F213" i="2"/>
  <c r="G213" i="2"/>
  <c r="H213" i="2"/>
  <c r="I213" i="2"/>
  <c r="F214" i="2"/>
  <c r="G214" i="2"/>
  <c r="H214" i="2"/>
  <c r="I214" i="2"/>
  <c r="F215" i="2"/>
  <c r="G215" i="2"/>
  <c r="H215" i="2"/>
  <c r="I215" i="2"/>
  <c r="F216" i="2"/>
  <c r="G216" i="2"/>
  <c r="H216" i="2"/>
  <c r="I216" i="2"/>
  <c r="F217" i="2"/>
  <c r="G217" i="2"/>
  <c r="H217" i="2"/>
  <c r="I217" i="2"/>
  <c r="F218" i="2"/>
  <c r="G218" i="2"/>
  <c r="H218" i="2"/>
  <c r="I218" i="2"/>
  <c r="F219" i="2"/>
  <c r="G219" i="2"/>
  <c r="H219" i="2"/>
  <c r="I219" i="2"/>
  <c r="J219" i="2"/>
  <c r="F220" i="2"/>
  <c r="G220" i="2"/>
  <c r="H220" i="2"/>
  <c r="I220" i="2"/>
  <c r="F221" i="2"/>
  <c r="G221" i="2"/>
  <c r="H221" i="2"/>
  <c r="I221" i="2"/>
  <c r="J221" i="2"/>
  <c r="F222" i="2"/>
  <c r="G222" i="2"/>
  <c r="H222" i="2"/>
  <c r="I222" i="2"/>
  <c r="F223" i="2"/>
  <c r="G223" i="2"/>
  <c r="H223" i="2"/>
  <c r="I223" i="2"/>
  <c r="F224" i="2"/>
  <c r="G224" i="2"/>
  <c r="H224" i="2"/>
  <c r="I224" i="2"/>
  <c r="F225" i="2"/>
  <c r="J225" i="2" s="1"/>
  <c r="G225" i="2"/>
  <c r="H225" i="2"/>
  <c r="I225" i="2"/>
  <c r="F226" i="2"/>
  <c r="G226" i="2"/>
  <c r="H226" i="2"/>
  <c r="I226" i="2"/>
  <c r="F227" i="2"/>
  <c r="G227" i="2"/>
  <c r="J227" i="2" s="1"/>
  <c r="H227" i="2"/>
  <c r="I227" i="2"/>
  <c r="F228" i="2"/>
  <c r="G228" i="2"/>
  <c r="H228" i="2"/>
  <c r="I228" i="2"/>
  <c r="F229" i="2"/>
  <c r="G229" i="2"/>
  <c r="H229" i="2"/>
  <c r="I229" i="2"/>
  <c r="F230" i="2"/>
  <c r="G230" i="2"/>
  <c r="H230" i="2"/>
  <c r="I230" i="2"/>
  <c r="F231" i="2"/>
  <c r="G231" i="2"/>
  <c r="J231" i="2" s="1"/>
  <c r="H231" i="2"/>
  <c r="I231" i="2"/>
  <c r="F232" i="2"/>
  <c r="G232" i="2"/>
  <c r="H232" i="2"/>
  <c r="I232" i="2"/>
  <c r="F233" i="2"/>
  <c r="G233" i="2"/>
  <c r="H233" i="2"/>
  <c r="I233" i="2"/>
  <c r="J233" i="2"/>
  <c r="F234" i="2"/>
  <c r="G234" i="2"/>
  <c r="H234" i="2"/>
  <c r="I234" i="2"/>
  <c r="F235" i="2"/>
  <c r="G235" i="2"/>
  <c r="H235" i="2"/>
  <c r="I235" i="2"/>
  <c r="J235" i="2"/>
  <c r="F236" i="2"/>
  <c r="G236" i="2"/>
  <c r="H236" i="2"/>
  <c r="I236" i="2"/>
  <c r="F237" i="2"/>
  <c r="G237" i="2"/>
  <c r="H237" i="2"/>
  <c r="I237" i="2"/>
  <c r="F238" i="2"/>
  <c r="G238" i="2"/>
  <c r="H238" i="2"/>
  <c r="I238" i="2"/>
  <c r="F239" i="2"/>
  <c r="G239" i="2"/>
  <c r="H239" i="2"/>
  <c r="I239" i="2"/>
  <c r="F240" i="2"/>
  <c r="G240" i="2"/>
  <c r="H240" i="2"/>
  <c r="I240" i="2"/>
  <c r="F241" i="2"/>
  <c r="G241" i="2"/>
  <c r="H241" i="2"/>
  <c r="I241" i="2"/>
  <c r="F242" i="2"/>
  <c r="G242" i="2"/>
  <c r="H242" i="2"/>
  <c r="I242" i="2"/>
  <c r="F243" i="2"/>
  <c r="G243" i="2"/>
  <c r="H243" i="2"/>
  <c r="I243" i="2"/>
  <c r="F244" i="2"/>
  <c r="G244" i="2"/>
  <c r="H244" i="2"/>
  <c r="I244" i="2"/>
  <c r="F245" i="2"/>
  <c r="G245" i="2"/>
  <c r="J245" i="2" s="1"/>
  <c r="H245" i="2"/>
  <c r="I245" i="2"/>
  <c r="F246" i="2"/>
  <c r="G246" i="2"/>
  <c r="H246" i="2"/>
  <c r="I246" i="2"/>
  <c r="F247" i="2"/>
  <c r="G247" i="2"/>
  <c r="H247" i="2"/>
  <c r="I247" i="2"/>
  <c r="F248" i="2"/>
  <c r="G248" i="2"/>
  <c r="H248" i="2"/>
  <c r="I248" i="2"/>
  <c r="F249" i="2"/>
  <c r="G249" i="2"/>
  <c r="J249" i="2" s="1"/>
  <c r="H249" i="2"/>
  <c r="I249" i="2"/>
  <c r="F250" i="2"/>
  <c r="G250" i="2"/>
  <c r="H250" i="2"/>
  <c r="I250" i="2"/>
  <c r="F251" i="2"/>
  <c r="G251" i="2"/>
  <c r="H251" i="2"/>
  <c r="I251" i="2"/>
  <c r="F252" i="2"/>
  <c r="G252" i="2"/>
  <c r="H252" i="2"/>
  <c r="I252" i="2"/>
  <c r="F253" i="2"/>
  <c r="G253" i="2"/>
  <c r="H253" i="2"/>
  <c r="I253" i="2"/>
  <c r="F254" i="2"/>
  <c r="G254" i="2"/>
  <c r="H254" i="2"/>
  <c r="I254" i="2"/>
  <c r="F255" i="2"/>
  <c r="G255" i="2"/>
  <c r="H255" i="2"/>
  <c r="J255" i="2" s="1"/>
  <c r="I255" i="2"/>
  <c r="F256" i="2"/>
  <c r="G256" i="2"/>
  <c r="H256" i="2"/>
  <c r="I256" i="2"/>
  <c r="F257" i="2"/>
  <c r="G257" i="2"/>
  <c r="H257" i="2"/>
  <c r="I257" i="2"/>
  <c r="F258" i="2"/>
  <c r="G258" i="2"/>
  <c r="H258" i="2"/>
  <c r="I258" i="2"/>
  <c r="F259" i="2"/>
  <c r="G259" i="2"/>
  <c r="H259" i="2"/>
  <c r="I259" i="2"/>
  <c r="F260" i="2"/>
  <c r="G260" i="2"/>
  <c r="H260" i="2"/>
  <c r="I260" i="2"/>
  <c r="F261" i="2"/>
  <c r="G261" i="2"/>
  <c r="J261" i="2" s="1"/>
  <c r="H261" i="2"/>
  <c r="I261" i="2"/>
  <c r="F262" i="2"/>
  <c r="G262" i="2"/>
  <c r="H262" i="2"/>
  <c r="I262" i="2"/>
  <c r="F263" i="2"/>
  <c r="G263" i="2"/>
  <c r="H263" i="2"/>
  <c r="I263" i="2"/>
  <c r="F264" i="2"/>
  <c r="G264" i="2"/>
  <c r="H264" i="2"/>
  <c r="I264" i="2"/>
  <c r="F265" i="2"/>
  <c r="G265" i="2"/>
  <c r="J265" i="2" s="1"/>
  <c r="H265" i="2"/>
  <c r="I265" i="2"/>
  <c r="F266" i="2"/>
  <c r="G266" i="2"/>
  <c r="H266" i="2"/>
  <c r="I266" i="2"/>
  <c r="F267" i="2"/>
  <c r="G267" i="2"/>
  <c r="H267" i="2"/>
  <c r="I267" i="2"/>
  <c r="F268" i="2"/>
  <c r="G268" i="2"/>
  <c r="H268" i="2"/>
  <c r="I268" i="2"/>
  <c r="F269" i="2"/>
  <c r="G269" i="2"/>
  <c r="H269" i="2"/>
  <c r="I269" i="2"/>
  <c r="F270" i="2"/>
  <c r="G270" i="2"/>
  <c r="H270" i="2"/>
  <c r="I270" i="2"/>
  <c r="F271" i="2"/>
  <c r="G271" i="2"/>
  <c r="H271" i="2"/>
  <c r="I271" i="2"/>
  <c r="F272" i="2"/>
  <c r="G272" i="2"/>
  <c r="H272" i="2"/>
  <c r="I272" i="2"/>
  <c r="F273" i="2"/>
  <c r="G273" i="2"/>
  <c r="H273" i="2"/>
  <c r="I273" i="2"/>
  <c r="F274" i="2"/>
  <c r="G274" i="2"/>
  <c r="H274" i="2"/>
  <c r="I274" i="2"/>
  <c r="F275" i="2"/>
  <c r="G275" i="2"/>
  <c r="H275" i="2"/>
  <c r="I275" i="2"/>
  <c r="F276" i="2"/>
  <c r="G276" i="2"/>
  <c r="H276" i="2"/>
  <c r="I276" i="2"/>
  <c r="F277" i="2"/>
  <c r="G277" i="2"/>
  <c r="H277" i="2"/>
  <c r="I277" i="2"/>
  <c r="F278" i="2"/>
  <c r="G278" i="2"/>
  <c r="H278" i="2"/>
  <c r="I278" i="2"/>
  <c r="F279" i="2"/>
  <c r="G279" i="2"/>
  <c r="H279" i="2"/>
  <c r="I279" i="2"/>
  <c r="F280" i="2"/>
  <c r="G280" i="2"/>
  <c r="H280" i="2"/>
  <c r="I280" i="2"/>
  <c r="F281" i="2"/>
  <c r="G281" i="2"/>
  <c r="H281" i="2"/>
  <c r="I281" i="2"/>
  <c r="F282" i="2"/>
  <c r="G282" i="2"/>
  <c r="H282" i="2"/>
  <c r="I282" i="2"/>
  <c r="F283" i="2"/>
  <c r="G283" i="2"/>
  <c r="H283" i="2"/>
  <c r="I283" i="2"/>
  <c r="F284" i="2"/>
  <c r="G284" i="2"/>
  <c r="H284" i="2"/>
  <c r="I284" i="2"/>
  <c r="F285" i="2"/>
  <c r="G285" i="2"/>
  <c r="H285" i="2"/>
  <c r="I285" i="2"/>
  <c r="F286" i="2"/>
  <c r="G286" i="2"/>
  <c r="H286" i="2"/>
  <c r="I286" i="2"/>
  <c r="F287" i="2"/>
  <c r="G287" i="2"/>
  <c r="H287" i="2"/>
  <c r="I287" i="2"/>
  <c r="F288" i="2"/>
  <c r="G288" i="2"/>
  <c r="H288" i="2"/>
  <c r="I288" i="2"/>
  <c r="F289" i="2"/>
  <c r="G289" i="2"/>
  <c r="H289" i="2"/>
  <c r="I289" i="2"/>
  <c r="F290" i="2"/>
  <c r="G290" i="2"/>
  <c r="H290" i="2"/>
  <c r="I290" i="2"/>
  <c r="F291" i="2"/>
  <c r="G291" i="2"/>
  <c r="H291" i="2"/>
  <c r="I291" i="2"/>
  <c r="F292" i="2"/>
  <c r="G292" i="2"/>
  <c r="H292" i="2"/>
  <c r="I292" i="2"/>
  <c r="F293" i="2"/>
  <c r="G293" i="2"/>
  <c r="H293" i="2"/>
  <c r="I293" i="2"/>
  <c r="F294" i="2"/>
  <c r="G294" i="2"/>
  <c r="H294" i="2"/>
  <c r="I294" i="2"/>
  <c r="F295" i="2"/>
  <c r="G295" i="2"/>
  <c r="J295" i="2" s="1"/>
  <c r="H295" i="2"/>
  <c r="I295" i="2"/>
  <c r="F296" i="2"/>
  <c r="G296" i="2"/>
  <c r="J296" i="2" s="1"/>
  <c r="H296" i="2"/>
  <c r="I296" i="2"/>
  <c r="F297" i="2"/>
  <c r="G297" i="2"/>
  <c r="H297" i="2"/>
  <c r="I297" i="2"/>
  <c r="F298" i="2"/>
  <c r="G298" i="2"/>
  <c r="H298" i="2"/>
  <c r="I298" i="2"/>
  <c r="F299" i="2"/>
  <c r="G299" i="2"/>
  <c r="J299" i="2" s="1"/>
  <c r="H299" i="2"/>
  <c r="I299" i="2"/>
  <c r="F300" i="2"/>
  <c r="G300" i="2"/>
  <c r="H300" i="2"/>
  <c r="I300" i="2"/>
  <c r="F301" i="2"/>
  <c r="G301" i="2"/>
  <c r="H301" i="2"/>
  <c r="I301" i="2"/>
  <c r="F302" i="2"/>
  <c r="G302" i="2"/>
  <c r="H302" i="2"/>
  <c r="I302" i="2"/>
  <c r="F303" i="2"/>
  <c r="G303" i="2"/>
  <c r="J303" i="2" s="1"/>
  <c r="H303" i="2"/>
  <c r="I303" i="2"/>
  <c r="F304" i="2"/>
  <c r="G304" i="2"/>
  <c r="H304" i="2"/>
  <c r="I304" i="2"/>
  <c r="F305" i="2"/>
  <c r="G305" i="2"/>
  <c r="H305" i="2"/>
  <c r="I305" i="2"/>
  <c r="F306" i="2"/>
  <c r="G306" i="2"/>
  <c r="H306" i="2"/>
  <c r="I306" i="2"/>
  <c r="F307" i="2"/>
  <c r="G307" i="2"/>
  <c r="J307" i="2" s="1"/>
  <c r="H307" i="2"/>
  <c r="I307" i="2"/>
  <c r="F308" i="2"/>
  <c r="G308" i="2"/>
  <c r="H308" i="2"/>
  <c r="I308" i="2"/>
  <c r="F309" i="2"/>
  <c r="G309" i="2"/>
  <c r="H309" i="2"/>
  <c r="I309" i="2"/>
  <c r="F310" i="2"/>
  <c r="G310" i="2"/>
  <c r="H310" i="2"/>
  <c r="I310" i="2"/>
  <c r="F311" i="2"/>
  <c r="G311" i="2"/>
  <c r="J311" i="2" s="1"/>
  <c r="H311" i="2"/>
  <c r="I311" i="2"/>
  <c r="F312" i="2"/>
  <c r="G312" i="2"/>
  <c r="H312" i="2"/>
  <c r="I312" i="2"/>
  <c r="F313" i="2"/>
  <c r="G313" i="2"/>
  <c r="H313" i="2"/>
  <c r="I313" i="2"/>
  <c r="F314" i="2"/>
  <c r="G314" i="2"/>
  <c r="H314" i="2"/>
  <c r="I314" i="2"/>
  <c r="F315" i="2"/>
  <c r="G315" i="2"/>
  <c r="J315" i="2" s="1"/>
  <c r="H315" i="2"/>
  <c r="I315" i="2"/>
  <c r="F316" i="2"/>
  <c r="G316" i="2"/>
  <c r="H316" i="2"/>
  <c r="I316" i="2"/>
  <c r="F317" i="2"/>
  <c r="G317" i="2"/>
  <c r="H317" i="2"/>
  <c r="I317" i="2"/>
  <c r="F318" i="2"/>
  <c r="G318" i="2"/>
  <c r="H318" i="2"/>
  <c r="I318" i="2"/>
  <c r="F319" i="2"/>
  <c r="G319" i="2"/>
  <c r="J319" i="2" s="1"/>
  <c r="H319" i="2"/>
  <c r="I319" i="2"/>
  <c r="F320" i="2"/>
  <c r="G320" i="2"/>
  <c r="H320" i="2"/>
  <c r="I320" i="2"/>
  <c r="F321" i="2"/>
  <c r="G321" i="2"/>
  <c r="H321" i="2"/>
  <c r="I321" i="2"/>
  <c r="F322" i="2"/>
  <c r="G322" i="2"/>
  <c r="H322" i="2"/>
  <c r="I322" i="2"/>
  <c r="F323" i="2"/>
  <c r="G323" i="2"/>
  <c r="J323" i="2" s="1"/>
  <c r="H323" i="2"/>
  <c r="I323" i="2"/>
  <c r="F324" i="2"/>
  <c r="G324" i="2"/>
  <c r="H324" i="2"/>
  <c r="I324" i="2"/>
  <c r="F325" i="2"/>
  <c r="G325" i="2"/>
  <c r="H325" i="2"/>
  <c r="I325" i="2"/>
  <c r="F326" i="2"/>
  <c r="G326" i="2"/>
  <c r="H326" i="2"/>
  <c r="I326" i="2"/>
  <c r="F327" i="2"/>
  <c r="G327" i="2"/>
  <c r="H327" i="2"/>
  <c r="I327" i="2"/>
  <c r="F328" i="2"/>
  <c r="G328" i="2"/>
  <c r="J328" i="2" s="1"/>
  <c r="H328" i="2"/>
  <c r="I328" i="2"/>
  <c r="F329" i="2"/>
  <c r="G329" i="2"/>
  <c r="H329" i="2"/>
  <c r="I329" i="2"/>
  <c r="F330" i="2"/>
  <c r="G330" i="2"/>
  <c r="H330" i="2"/>
  <c r="I330" i="2"/>
  <c r="F331" i="2"/>
  <c r="G331" i="2"/>
  <c r="J331" i="2" s="1"/>
  <c r="H331" i="2"/>
  <c r="I331" i="2"/>
  <c r="F332" i="2"/>
  <c r="G332" i="2"/>
  <c r="H332" i="2"/>
  <c r="I332" i="2"/>
  <c r="F333" i="2"/>
  <c r="G333" i="2"/>
  <c r="J333" i="2" s="1"/>
  <c r="H333" i="2"/>
  <c r="I333" i="2"/>
  <c r="F334" i="2"/>
  <c r="G334" i="2"/>
  <c r="H334" i="2"/>
  <c r="I334" i="2"/>
  <c r="F335" i="2"/>
  <c r="G335" i="2"/>
  <c r="J335" i="2" s="1"/>
  <c r="H335" i="2"/>
  <c r="I335" i="2"/>
  <c r="F336" i="2"/>
  <c r="G336" i="2"/>
  <c r="H336" i="2"/>
  <c r="I336" i="2"/>
  <c r="F337" i="2"/>
  <c r="G337" i="2"/>
  <c r="J337" i="2" s="1"/>
  <c r="H337" i="2"/>
  <c r="I337" i="2"/>
  <c r="F338" i="2"/>
  <c r="G338" i="2"/>
  <c r="H338" i="2"/>
  <c r="I338" i="2"/>
  <c r="F339" i="2"/>
  <c r="G339" i="2"/>
  <c r="H339" i="2"/>
  <c r="I339" i="2"/>
  <c r="F340" i="2"/>
  <c r="G340" i="2"/>
  <c r="H340" i="2"/>
  <c r="I340" i="2"/>
  <c r="F341" i="2"/>
  <c r="G341" i="2"/>
  <c r="J341" i="2" s="1"/>
  <c r="H341" i="2"/>
  <c r="I341" i="2"/>
  <c r="F342" i="2"/>
  <c r="G342" i="2"/>
  <c r="H342" i="2"/>
  <c r="I342" i="2"/>
  <c r="F343" i="2"/>
  <c r="G343" i="2"/>
  <c r="J343" i="2" s="1"/>
  <c r="H343" i="2"/>
  <c r="I343" i="2"/>
  <c r="F344" i="2"/>
  <c r="G344" i="2"/>
  <c r="H344" i="2"/>
  <c r="I344" i="2"/>
  <c r="F345" i="2"/>
  <c r="G345" i="2"/>
  <c r="H345" i="2"/>
  <c r="I345" i="2"/>
  <c r="F346" i="2"/>
  <c r="G346" i="2"/>
  <c r="H346" i="2"/>
  <c r="I346" i="2"/>
  <c r="F347" i="2"/>
  <c r="G347" i="2"/>
  <c r="J347" i="2" s="1"/>
  <c r="H347" i="2"/>
  <c r="I347" i="2"/>
  <c r="F348" i="2"/>
  <c r="G348" i="2"/>
  <c r="H348" i="2"/>
  <c r="I348" i="2"/>
  <c r="F349" i="2"/>
  <c r="G349" i="2"/>
  <c r="H349" i="2"/>
  <c r="I349" i="2"/>
  <c r="F350" i="2"/>
  <c r="G350" i="2"/>
  <c r="H350" i="2"/>
  <c r="I350" i="2"/>
  <c r="F351" i="2"/>
  <c r="G351" i="2"/>
  <c r="J351" i="2" s="1"/>
  <c r="H351" i="2"/>
  <c r="I351" i="2"/>
  <c r="F352" i="2"/>
  <c r="G352" i="2"/>
  <c r="H352" i="2"/>
  <c r="I352" i="2"/>
  <c r="F353" i="2"/>
  <c r="G353" i="2"/>
  <c r="J353" i="2" s="1"/>
  <c r="H353" i="2"/>
  <c r="I353" i="2"/>
  <c r="F354" i="2"/>
  <c r="G354" i="2"/>
  <c r="H354" i="2"/>
  <c r="I354" i="2"/>
  <c r="F355" i="2"/>
  <c r="G355" i="2"/>
  <c r="J355" i="2" s="1"/>
  <c r="H355" i="2"/>
  <c r="I355" i="2"/>
  <c r="F356" i="2"/>
  <c r="G356" i="2"/>
  <c r="H356" i="2"/>
  <c r="I356" i="2"/>
  <c r="F357" i="2"/>
  <c r="G357" i="2"/>
  <c r="J357" i="2" s="1"/>
  <c r="H357" i="2"/>
  <c r="I357" i="2"/>
  <c r="F358" i="2"/>
  <c r="G358" i="2"/>
  <c r="H358" i="2"/>
  <c r="I358" i="2"/>
  <c r="F359" i="2"/>
  <c r="G359" i="2"/>
  <c r="H359" i="2"/>
  <c r="I359" i="2"/>
  <c r="F360" i="2"/>
  <c r="G360" i="2"/>
  <c r="H360" i="2"/>
  <c r="I360" i="2"/>
  <c r="F361" i="2"/>
  <c r="G361" i="2"/>
  <c r="H361" i="2"/>
  <c r="I361" i="2"/>
  <c r="F362" i="2"/>
  <c r="G362" i="2"/>
  <c r="H362" i="2"/>
  <c r="I362" i="2"/>
  <c r="F363" i="2"/>
  <c r="G363" i="2"/>
  <c r="J363" i="2" s="1"/>
  <c r="H363" i="2"/>
  <c r="I363" i="2"/>
  <c r="F364" i="2"/>
  <c r="G364" i="2"/>
  <c r="H364" i="2"/>
  <c r="I364" i="2"/>
  <c r="F365" i="2"/>
  <c r="G365" i="2"/>
  <c r="J365" i="2" s="1"/>
  <c r="H365" i="2"/>
  <c r="I365" i="2"/>
  <c r="F366" i="2"/>
  <c r="G366" i="2"/>
  <c r="H366" i="2"/>
  <c r="I366" i="2"/>
  <c r="F367" i="2"/>
  <c r="G367" i="2"/>
  <c r="J367" i="2" s="1"/>
  <c r="H367" i="2"/>
  <c r="I367" i="2"/>
  <c r="F368" i="2"/>
  <c r="G368" i="2"/>
  <c r="H368" i="2"/>
  <c r="I368" i="2"/>
  <c r="F369" i="2"/>
  <c r="G369" i="2"/>
  <c r="H369" i="2"/>
  <c r="I369" i="2"/>
  <c r="F370" i="2"/>
  <c r="G370" i="2"/>
  <c r="H370" i="2"/>
  <c r="I370" i="2"/>
  <c r="F371" i="2"/>
  <c r="G371" i="2"/>
  <c r="J371" i="2" s="1"/>
  <c r="H371" i="2"/>
  <c r="I371" i="2"/>
  <c r="F372" i="2"/>
  <c r="G372" i="2"/>
  <c r="H372" i="2"/>
  <c r="I372" i="2"/>
  <c r="F373" i="2"/>
  <c r="G373" i="2"/>
  <c r="J373" i="2" s="1"/>
  <c r="H373" i="2"/>
  <c r="I373" i="2"/>
  <c r="F374" i="2"/>
  <c r="G374" i="2"/>
  <c r="H374" i="2"/>
  <c r="I374" i="2"/>
  <c r="F375" i="2"/>
  <c r="G375" i="2"/>
  <c r="J375" i="2" s="1"/>
  <c r="H375" i="2"/>
  <c r="I375" i="2"/>
  <c r="F376" i="2"/>
  <c r="G376" i="2"/>
  <c r="H376" i="2"/>
  <c r="I376" i="2"/>
  <c r="F377" i="2"/>
  <c r="G377" i="2"/>
  <c r="J377" i="2" s="1"/>
  <c r="H377" i="2"/>
  <c r="I377" i="2"/>
  <c r="F378" i="2"/>
  <c r="G378" i="2"/>
  <c r="H378" i="2"/>
  <c r="I378" i="2"/>
  <c r="F379" i="2"/>
  <c r="G379" i="2"/>
  <c r="J379" i="2" s="1"/>
  <c r="H379" i="2"/>
  <c r="I379" i="2"/>
  <c r="F380" i="2"/>
  <c r="G380" i="2"/>
  <c r="H380" i="2"/>
  <c r="I380" i="2"/>
  <c r="F381" i="2"/>
  <c r="G381" i="2"/>
  <c r="H381" i="2"/>
  <c r="I381" i="2"/>
  <c r="F382" i="2"/>
  <c r="G382" i="2"/>
  <c r="H382" i="2"/>
  <c r="I382" i="2"/>
  <c r="F383" i="2"/>
  <c r="G383" i="2"/>
  <c r="H383" i="2"/>
  <c r="I383" i="2"/>
  <c r="F384" i="2"/>
  <c r="G384" i="2"/>
  <c r="H384" i="2"/>
  <c r="I384" i="2"/>
  <c r="F385" i="2"/>
  <c r="G385" i="2"/>
  <c r="H385" i="2"/>
  <c r="I385" i="2"/>
  <c r="F386" i="2"/>
  <c r="G386" i="2"/>
  <c r="H386" i="2"/>
  <c r="I386" i="2"/>
  <c r="F387" i="2"/>
  <c r="G387" i="2"/>
  <c r="H387" i="2"/>
  <c r="I387" i="2"/>
  <c r="F388" i="2"/>
  <c r="G388" i="2"/>
  <c r="H388" i="2"/>
  <c r="I388" i="2"/>
  <c r="F389" i="2"/>
  <c r="G389" i="2"/>
  <c r="J389" i="2" s="1"/>
  <c r="H389" i="2"/>
  <c r="I389" i="2"/>
  <c r="F390" i="2"/>
  <c r="G390" i="2"/>
  <c r="H390" i="2"/>
  <c r="I390" i="2"/>
  <c r="F391" i="2"/>
  <c r="G391" i="2"/>
  <c r="H391" i="2"/>
  <c r="I391" i="2"/>
  <c r="F392" i="2"/>
  <c r="G392" i="2"/>
  <c r="H392" i="2"/>
  <c r="I392" i="2"/>
  <c r="F393" i="2"/>
  <c r="G393" i="2"/>
  <c r="J393" i="2" s="1"/>
  <c r="H393" i="2"/>
  <c r="I393" i="2"/>
  <c r="F394" i="2"/>
  <c r="G394" i="2"/>
  <c r="H394" i="2"/>
  <c r="I394" i="2"/>
  <c r="F395" i="2"/>
  <c r="G395" i="2"/>
  <c r="H395" i="2"/>
  <c r="I395" i="2"/>
  <c r="F396" i="2"/>
  <c r="G396" i="2"/>
  <c r="H396" i="2"/>
  <c r="I396" i="2"/>
  <c r="F397" i="2"/>
  <c r="G397" i="2"/>
  <c r="H397" i="2"/>
  <c r="I397" i="2"/>
  <c r="F398" i="2"/>
  <c r="G398" i="2"/>
  <c r="H398" i="2"/>
  <c r="I398" i="2"/>
  <c r="F399" i="2"/>
  <c r="G399" i="2"/>
  <c r="H399" i="2"/>
  <c r="I399" i="2"/>
  <c r="F400" i="2"/>
  <c r="G400" i="2"/>
  <c r="H400" i="2"/>
  <c r="I400" i="2"/>
  <c r="F401" i="2"/>
  <c r="G401" i="2"/>
  <c r="H401" i="2"/>
  <c r="I401" i="2"/>
  <c r="F402" i="2"/>
  <c r="G402" i="2"/>
  <c r="H402" i="2"/>
  <c r="I402" i="2"/>
  <c r="F403" i="2"/>
  <c r="G403" i="2"/>
  <c r="H403" i="2"/>
  <c r="I403" i="2"/>
  <c r="F404" i="2"/>
  <c r="G404" i="2"/>
  <c r="H404" i="2"/>
  <c r="I404" i="2"/>
  <c r="F405" i="2"/>
  <c r="G405" i="2"/>
  <c r="H405" i="2"/>
  <c r="I405" i="2"/>
  <c r="V1" i="2"/>
  <c r="C10" i="3" l="1"/>
  <c r="M11" i="3"/>
  <c r="J395" i="2"/>
  <c r="J390" i="2"/>
  <c r="J370" i="2"/>
  <c r="J366" i="2"/>
  <c r="J362" i="2"/>
  <c r="J354" i="2"/>
  <c r="J338" i="2"/>
  <c r="J324" i="2"/>
  <c r="J392" i="2"/>
  <c r="J384" i="2"/>
  <c r="J380" i="2"/>
  <c r="J368" i="2"/>
  <c r="J336" i="2"/>
  <c r="J327" i="2"/>
  <c r="J310" i="2"/>
  <c r="J298" i="2"/>
  <c r="J294" i="2"/>
  <c r="J282" i="2"/>
  <c r="J241" i="2"/>
  <c r="J240" i="2"/>
  <c r="J237" i="2"/>
  <c r="J230" i="2"/>
  <c r="J229" i="2"/>
  <c r="J223" i="2"/>
  <c r="J222" i="2"/>
  <c r="J217" i="2"/>
  <c r="J216" i="2"/>
  <c r="J208" i="2"/>
  <c r="J203" i="2"/>
  <c r="J201" i="2"/>
  <c r="J200" i="2"/>
  <c r="J197" i="2"/>
  <c r="J189" i="2"/>
  <c r="J174" i="2"/>
  <c r="J165" i="2"/>
  <c r="J141" i="2"/>
  <c r="J123" i="2"/>
  <c r="J321" i="2"/>
  <c r="J317" i="2"/>
  <c r="J309" i="2"/>
  <c r="J305" i="2"/>
  <c r="J289" i="2"/>
  <c r="J285" i="2"/>
  <c r="J281" i="2"/>
  <c r="J276" i="2"/>
  <c r="J269" i="2"/>
  <c r="J263" i="2"/>
  <c r="J262" i="2"/>
  <c r="J247" i="2"/>
  <c r="J243" i="2"/>
  <c r="J239" i="2"/>
  <c r="J215" i="2"/>
  <c r="J211" i="2"/>
  <c r="J207" i="2"/>
  <c r="J199" i="2"/>
  <c r="J195" i="2"/>
  <c r="J181" i="2"/>
  <c r="J173" i="2"/>
  <c r="J157" i="2"/>
  <c r="J149" i="2"/>
  <c r="J117" i="2"/>
  <c r="J109" i="2"/>
  <c r="J320" i="2"/>
  <c r="J316" i="2"/>
  <c r="J254" i="2"/>
  <c r="J213" i="2"/>
  <c r="J287" i="2"/>
  <c r="J279" i="2"/>
  <c r="J275" i="2"/>
  <c r="J271" i="2"/>
  <c r="J264" i="2"/>
  <c r="J179" i="2"/>
  <c r="J171" i="2"/>
  <c r="J167" i="2"/>
  <c r="J163" i="2"/>
  <c r="J159" i="2"/>
  <c r="J155" i="2"/>
  <c r="J151" i="2"/>
  <c r="J147" i="2"/>
  <c r="J143" i="2"/>
  <c r="J139" i="2"/>
  <c r="J135" i="2"/>
  <c r="J115" i="2"/>
  <c r="J405" i="2"/>
  <c r="J404" i="2"/>
  <c r="J403" i="2"/>
  <c r="J402" i="2"/>
  <c r="J401" i="2"/>
  <c r="J400" i="2"/>
  <c r="J399" i="2"/>
  <c r="J397" i="2"/>
  <c r="J394" i="2"/>
  <c r="J391" i="2"/>
  <c r="J388" i="2"/>
  <c r="J387" i="2"/>
  <c r="J386" i="2"/>
  <c r="J385" i="2"/>
  <c r="J383" i="2"/>
  <c r="J382" i="2"/>
  <c r="J381" i="2"/>
  <c r="J378" i="2"/>
  <c r="J376" i="2"/>
  <c r="J374" i="2"/>
  <c r="J372" i="2"/>
  <c r="J369" i="2"/>
  <c r="J364" i="2"/>
  <c r="J361" i="2"/>
  <c r="J360" i="2"/>
  <c r="J359" i="2"/>
  <c r="J358" i="2"/>
  <c r="J356" i="2"/>
  <c r="J352" i="2"/>
  <c r="J350" i="2"/>
  <c r="J349" i="2"/>
  <c r="J348" i="2"/>
  <c r="J346" i="2"/>
  <c r="J345" i="2"/>
  <c r="J344" i="2"/>
  <c r="J342" i="2"/>
  <c r="J340" i="2"/>
  <c r="J339" i="2"/>
  <c r="J334" i="2"/>
  <c r="J332" i="2"/>
  <c r="J330" i="2"/>
  <c r="J329" i="2"/>
  <c r="J326" i="2"/>
  <c r="J325" i="2"/>
  <c r="J322" i="2"/>
  <c r="J318" i="2"/>
  <c r="J314" i="2"/>
  <c r="J313" i="2"/>
  <c r="J312" i="2"/>
  <c r="J308" i="2"/>
  <c r="J306" i="2"/>
  <c r="J304" i="2"/>
  <c r="J302" i="2"/>
  <c r="J301" i="2"/>
  <c r="J300" i="2"/>
  <c r="J297" i="2"/>
  <c r="J293" i="2"/>
  <c r="J292" i="2"/>
  <c r="J291" i="2"/>
  <c r="J290" i="2"/>
  <c r="J288" i="2"/>
  <c r="J286" i="2"/>
  <c r="J284" i="2"/>
  <c r="J283" i="2"/>
  <c r="J280" i="2"/>
  <c r="J278" i="2"/>
  <c r="J277" i="2"/>
  <c r="J273" i="2"/>
  <c r="J272" i="2"/>
  <c r="J270" i="2"/>
  <c r="J267" i="2"/>
  <c r="J259" i="2"/>
  <c r="J257" i="2"/>
  <c r="J256" i="2"/>
  <c r="J253" i="2"/>
  <c r="J251" i="2"/>
  <c r="J248" i="2"/>
  <c r="J246" i="2"/>
  <c r="J232" i="2"/>
  <c r="J224" i="2"/>
  <c r="J214" i="2"/>
  <c r="J206" i="2"/>
  <c r="J198" i="2"/>
  <c r="J192" i="2"/>
  <c r="J190" i="2"/>
  <c r="J185" i="2"/>
  <c r="J184" i="2"/>
  <c r="J182" i="2"/>
  <c r="J176" i="2"/>
  <c r="J169" i="2"/>
  <c r="J161" i="2"/>
  <c r="J152" i="2"/>
  <c r="J144" i="2"/>
  <c r="J137" i="2"/>
  <c r="J136" i="2"/>
  <c r="J129" i="2"/>
  <c r="J128" i="2"/>
  <c r="J121" i="2"/>
  <c r="J120" i="2"/>
  <c r="J113" i="2"/>
  <c r="J396" i="2"/>
  <c r="J398" i="2"/>
  <c r="J274" i="2"/>
  <c r="J266" i="2"/>
  <c r="J258" i="2"/>
  <c r="J250" i="2"/>
  <c r="J242" i="2"/>
  <c r="J234" i="2"/>
  <c r="J226" i="2"/>
  <c r="J218" i="2"/>
  <c r="J210" i="2"/>
  <c r="J202" i="2"/>
  <c r="J194" i="2"/>
  <c r="J186" i="2"/>
  <c r="J178" i="2"/>
  <c r="J170" i="2"/>
  <c r="J162" i="2"/>
  <c r="J154" i="2"/>
  <c r="J146" i="2"/>
  <c r="J138" i="2"/>
  <c r="J130" i="2"/>
  <c r="J122" i="2"/>
  <c r="J114" i="2"/>
  <c r="J106" i="2"/>
  <c r="J268" i="2"/>
  <c r="J260" i="2"/>
  <c r="J252" i="2"/>
  <c r="J244" i="2"/>
  <c r="J236" i="2"/>
  <c r="J228" i="2"/>
  <c r="J220" i="2"/>
  <c r="J212" i="2"/>
  <c r="J204" i="2"/>
  <c r="J196" i="2"/>
  <c r="J188" i="2"/>
  <c r="J180" i="2"/>
  <c r="J172" i="2"/>
  <c r="J164" i="2"/>
  <c r="J156" i="2"/>
  <c r="J148" i="2"/>
  <c r="J140" i="2"/>
  <c r="J132" i="2"/>
  <c r="J124" i="2"/>
  <c r="J116" i="2"/>
  <c r="J108" i="2"/>
  <c r="J238" i="2"/>
  <c r="J166" i="2"/>
  <c r="J158" i="2"/>
  <c r="J150" i="2"/>
  <c r="J142" i="2"/>
  <c r="J134" i="2"/>
  <c r="J126" i="2"/>
  <c r="J118" i="2"/>
  <c r="J110" i="2"/>
  <c r="C11" i="3" l="1"/>
  <c r="M12" i="3"/>
  <c r="C5" i="2"/>
  <c r="E2" i="2"/>
  <c r="C12" i="3" l="1"/>
  <c r="M13" i="3"/>
  <c r="F7" i="2"/>
  <c r="G7" i="2"/>
  <c r="H7" i="2"/>
  <c r="I7" i="2"/>
  <c r="F8" i="2"/>
  <c r="G8" i="2"/>
  <c r="H8" i="2"/>
  <c r="I8" i="2"/>
  <c r="F9" i="2"/>
  <c r="G9" i="2"/>
  <c r="H9" i="2"/>
  <c r="I9" i="2"/>
  <c r="F10" i="2"/>
  <c r="G10" i="2"/>
  <c r="H10" i="2"/>
  <c r="I10" i="2"/>
  <c r="F11" i="2"/>
  <c r="G11" i="2"/>
  <c r="H11" i="2"/>
  <c r="I11" i="2"/>
  <c r="F12" i="2"/>
  <c r="G12" i="2"/>
  <c r="H12" i="2"/>
  <c r="I12" i="2"/>
  <c r="F13" i="2"/>
  <c r="G13" i="2"/>
  <c r="H13" i="2"/>
  <c r="I13" i="2"/>
  <c r="F14" i="2"/>
  <c r="G14" i="2"/>
  <c r="H14" i="2"/>
  <c r="I14" i="2"/>
  <c r="F15" i="2"/>
  <c r="G15" i="2"/>
  <c r="H15" i="2"/>
  <c r="I15" i="2"/>
  <c r="F16" i="2"/>
  <c r="G16" i="2"/>
  <c r="H16" i="2"/>
  <c r="I16" i="2"/>
  <c r="F17" i="2"/>
  <c r="G17" i="2"/>
  <c r="H17" i="2"/>
  <c r="I17" i="2"/>
  <c r="F18" i="2"/>
  <c r="G18" i="2"/>
  <c r="H18" i="2"/>
  <c r="I18" i="2"/>
  <c r="F19" i="2"/>
  <c r="G19" i="2"/>
  <c r="H19" i="2"/>
  <c r="I19" i="2"/>
  <c r="F20" i="2"/>
  <c r="G20" i="2"/>
  <c r="H20" i="2"/>
  <c r="I20" i="2"/>
  <c r="F21" i="2"/>
  <c r="G21" i="2"/>
  <c r="H21" i="2"/>
  <c r="I21" i="2"/>
  <c r="F22" i="2"/>
  <c r="G22" i="2"/>
  <c r="H22" i="2"/>
  <c r="I22" i="2"/>
  <c r="F23" i="2"/>
  <c r="G23" i="2"/>
  <c r="H23" i="2"/>
  <c r="I23" i="2"/>
  <c r="F24" i="2"/>
  <c r="G24" i="2"/>
  <c r="H24" i="2"/>
  <c r="I24" i="2"/>
  <c r="F25" i="2"/>
  <c r="G25" i="2"/>
  <c r="H25" i="2"/>
  <c r="I25" i="2"/>
  <c r="F26" i="2"/>
  <c r="G26" i="2"/>
  <c r="H26" i="2"/>
  <c r="I26" i="2"/>
  <c r="F27" i="2"/>
  <c r="G27" i="2"/>
  <c r="H27" i="2"/>
  <c r="I27" i="2"/>
  <c r="F28" i="2"/>
  <c r="G28" i="2"/>
  <c r="H28" i="2"/>
  <c r="I28" i="2"/>
  <c r="F29" i="2"/>
  <c r="G29" i="2"/>
  <c r="H29" i="2"/>
  <c r="I29" i="2"/>
  <c r="F30" i="2"/>
  <c r="G30" i="2"/>
  <c r="H30" i="2"/>
  <c r="I30" i="2"/>
  <c r="F31" i="2"/>
  <c r="G31" i="2"/>
  <c r="H31" i="2"/>
  <c r="I31" i="2"/>
  <c r="F32" i="2"/>
  <c r="G32" i="2"/>
  <c r="H32" i="2"/>
  <c r="I32" i="2"/>
  <c r="F33" i="2"/>
  <c r="G33" i="2"/>
  <c r="H33" i="2"/>
  <c r="I33" i="2"/>
  <c r="F34" i="2"/>
  <c r="G34" i="2"/>
  <c r="H34" i="2"/>
  <c r="I34" i="2"/>
  <c r="F35" i="2"/>
  <c r="G35" i="2"/>
  <c r="H35" i="2"/>
  <c r="I35" i="2"/>
  <c r="F36" i="2"/>
  <c r="G36" i="2"/>
  <c r="H36" i="2"/>
  <c r="I36" i="2"/>
  <c r="F37" i="2"/>
  <c r="G37" i="2"/>
  <c r="H37" i="2"/>
  <c r="I37" i="2"/>
  <c r="F38" i="2"/>
  <c r="G38" i="2"/>
  <c r="H38" i="2"/>
  <c r="I38" i="2"/>
  <c r="F39" i="2"/>
  <c r="G39" i="2"/>
  <c r="H39" i="2"/>
  <c r="I39" i="2"/>
  <c r="F40" i="2"/>
  <c r="G40" i="2"/>
  <c r="H40" i="2"/>
  <c r="I40" i="2"/>
  <c r="F41" i="2"/>
  <c r="G41" i="2"/>
  <c r="H41" i="2"/>
  <c r="I41" i="2"/>
  <c r="F42" i="2"/>
  <c r="G42" i="2"/>
  <c r="H42" i="2"/>
  <c r="I42" i="2"/>
  <c r="F43" i="2"/>
  <c r="G43" i="2"/>
  <c r="H43" i="2"/>
  <c r="I43" i="2"/>
  <c r="F44" i="2"/>
  <c r="G44" i="2"/>
  <c r="H44" i="2"/>
  <c r="I44" i="2"/>
  <c r="F45" i="2"/>
  <c r="G45" i="2"/>
  <c r="H45" i="2"/>
  <c r="I45" i="2"/>
  <c r="F46" i="2"/>
  <c r="G46" i="2"/>
  <c r="H46" i="2"/>
  <c r="I46" i="2"/>
  <c r="F47" i="2"/>
  <c r="G47" i="2"/>
  <c r="H47" i="2"/>
  <c r="I47" i="2"/>
  <c r="F48" i="2"/>
  <c r="G48" i="2"/>
  <c r="H48" i="2"/>
  <c r="I48" i="2"/>
  <c r="F49" i="2"/>
  <c r="G49" i="2"/>
  <c r="H49" i="2"/>
  <c r="I49" i="2"/>
  <c r="F50" i="2"/>
  <c r="G50" i="2"/>
  <c r="H50" i="2"/>
  <c r="I50" i="2"/>
  <c r="F51" i="2"/>
  <c r="G51" i="2"/>
  <c r="H51" i="2"/>
  <c r="I51" i="2"/>
  <c r="F52" i="2"/>
  <c r="G52" i="2"/>
  <c r="H52" i="2"/>
  <c r="I52" i="2"/>
  <c r="F53" i="2"/>
  <c r="G53" i="2"/>
  <c r="H53" i="2"/>
  <c r="I53" i="2"/>
  <c r="F54" i="2"/>
  <c r="G54" i="2"/>
  <c r="H54" i="2"/>
  <c r="I54" i="2"/>
  <c r="F55" i="2"/>
  <c r="G55" i="2"/>
  <c r="H55" i="2"/>
  <c r="I55" i="2"/>
  <c r="F56" i="2"/>
  <c r="G56" i="2"/>
  <c r="H56" i="2"/>
  <c r="I56" i="2"/>
  <c r="F57" i="2"/>
  <c r="G57" i="2"/>
  <c r="H57" i="2"/>
  <c r="I57" i="2"/>
  <c r="F58" i="2"/>
  <c r="G58" i="2"/>
  <c r="H58" i="2"/>
  <c r="I58" i="2"/>
  <c r="F59" i="2"/>
  <c r="G59" i="2"/>
  <c r="H59" i="2"/>
  <c r="I59" i="2"/>
  <c r="F60" i="2"/>
  <c r="G60" i="2"/>
  <c r="H60" i="2"/>
  <c r="I60" i="2"/>
  <c r="F61" i="2"/>
  <c r="G61" i="2"/>
  <c r="H61" i="2"/>
  <c r="I61" i="2"/>
  <c r="F62" i="2"/>
  <c r="G62" i="2"/>
  <c r="H62" i="2"/>
  <c r="I62" i="2"/>
  <c r="F63" i="2"/>
  <c r="G63" i="2"/>
  <c r="H63" i="2"/>
  <c r="I63" i="2"/>
  <c r="F64" i="2"/>
  <c r="G64" i="2"/>
  <c r="H64" i="2"/>
  <c r="I64" i="2"/>
  <c r="F65" i="2"/>
  <c r="G65" i="2"/>
  <c r="H65" i="2"/>
  <c r="I65" i="2"/>
  <c r="F66" i="2"/>
  <c r="G66" i="2"/>
  <c r="H66" i="2"/>
  <c r="I66" i="2"/>
  <c r="F67" i="2"/>
  <c r="G67" i="2"/>
  <c r="H67" i="2"/>
  <c r="I67" i="2"/>
  <c r="F68" i="2"/>
  <c r="G68" i="2"/>
  <c r="H68" i="2"/>
  <c r="I68" i="2"/>
  <c r="F69" i="2"/>
  <c r="G69" i="2"/>
  <c r="H69" i="2"/>
  <c r="I69" i="2"/>
  <c r="F70" i="2"/>
  <c r="G70" i="2"/>
  <c r="H70" i="2"/>
  <c r="I70" i="2"/>
  <c r="F71" i="2"/>
  <c r="G71" i="2"/>
  <c r="H71" i="2"/>
  <c r="I71" i="2"/>
  <c r="F72" i="2"/>
  <c r="G72" i="2"/>
  <c r="H72" i="2"/>
  <c r="I72" i="2"/>
  <c r="F73" i="2"/>
  <c r="G73" i="2"/>
  <c r="H73" i="2"/>
  <c r="I73" i="2"/>
  <c r="F74" i="2"/>
  <c r="G74" i="2"/>
  <c r="H74" i="2"/>
  <c r="I74" i="2"/>
  <c r="F75" i="2"/>
  <c r="G75" i="2"/>
  <c r="H75" i="2"/>
  <c r="I75" i="2"/>
  <c r="F76" i="2"/>
  <c r="G76" i="2"/>
  <c r="H76" i="2"/>
  <c r="I76" i="2"/>
  <c r="F77" i="2"/>
  <c r="G77" i="2"/>
  <c r="H77" i="2"/>
  <c r="I77" i="2"/>
  <c r="F78" i="2"/>
  <c r="G78" i="2"/>
  <c r="H78" i="2"/>
  <c r="I78" i="2"/>
  <c r="F79" i="2"/>
  <c r="G79" i="2"/>
  <c r="H79" i="2"/>
  <c r="I79" i="2"/>
  <c r="F80" i="2"/>
  <c r="G80" i="2"/>
  <c r="H80" i="2"/>
  <c r="I80" i="2"/>
  <c r="F81" i="2"/>
  <c r="G81" i="2"/>
  <c r="H81" i="2"/>
  <c r="I81" i="2"/>
  <c r="F82" i="2"/>
  <c r="G82" i="2"/>
  <c r="H82" i="2"/>
  <c r="I82" i="2"/>
  <c r="F83" i="2"/>
  <c r="G83" i="2"/>
  <c r="H83" i="2"/>
  <c r="I83" i="2"/>
  <c r="F84" i="2"/>
  <c r="G84" i="2"/>
  <c r="H84" i="2"/>
  <c r="I84" i="2"/>
  <c r="F85" i="2"/>
  <c r="G85" i="2"/>
  <c r="H85" i="2"/>
  <c r="I85" i="2"/>
  <c r="F86" i="2"/>
  <c r="G86" i="2"/>
  <c r="H86" i="2"/>
  <c r="I86" i="2"/>
  <c r="F87" i="2"/>
  <c r="G87" i="2"/>
  <c r="H87" i="2"/>
  <c r="I87" i="2"/>
  <c r="F88" i="2"/>
  <c r="G88" i="2"/>
  <c r="H88" i="2"/>
  <c r="I88" i="2"/>
  <c r="F89" i="2"/>
  <c r="G89" i="2"/>
  <c r="H89" i="2"/>
  <c r="I89" i="2"/>
  <c r="F90" i="2"/>
  <c r="G90" i="2"/>
  <c r="H90" i="2"/>
  <c r="I90" i="2"/>
  <c r="F91" i="2"/>
  <c r="G91" i="2"/>
  <c r="H91" i="2"/>
  <c r="I91" i="2"/>
  <c r="F92" i="2"/>
  <c r="G92" i="2"/>
  <c r="H92" i="2"/>
  <c r="I92" i="2"/>
  <c r="F93" i="2"/>
  <c r="G93" i="2"/>
  <c r="H93" i="2"/>
  <c r="I93" i="2"/>
  <c r="F94" i="2"/>
  <c r="G94" i="2"/>
  <c r="H94" i="2"/>
  <c r="I94" i="2"/>
  <c r="F95" i="2"/>
  <c r="G95" i="2"/>
  <c r="H95" i="2"/>
  <c r="I95" i="2"/>
  <c r="F96" i="2"/>
  <c r="G96" i="2"/>
  <c r="H96" i="2"/>
  <c r="I96" i="2"/>
  <c r="F97" i="2"/>
  <c r="G97" i="2"/>
  <c r="H97" i="2"/>
  <c r="I97" i="2"/>
  <c r="F98" i="2"/>
  <c r="G98" i="2"/>
  <c r="H98" i="2"/>
  <c r="I98" i="2"/>
  <c r="F99" i="2"/>
  <c r="G99" i="2"/>
  <c r="H99" i="2"/>
  <c r="I99" i="2"/>
  <c r="F100" i="2"/>
  <c r="G100" i="2"/>
  <c r="H100" i="2"/>
  <c r="I100" i="2"/>
  <c r="F101" i="2"/>
  <c r="G101" i="2"/>
  <c r="H101" i="2"/>
  <c r="I101" i="2"/>
  <c r="F102" i="2"/>
  <c r="G102" i="2"/>
  <c r="H102" i="2"/>
  <c r="I102" i="2"/>
  <c r="F103" i="2"/>
  <c r="G103" i="2"/>
  <c r="H103" i="2"/>
  <c r="I103" i="2"/>
  <c r="F104" i="2"/>
  <c r="G104" i="2"/>
  <c r="H104" i="2"/>
  <c r="I104" i="2"/>
  <c r="F105" i="2"/>
  <c r="G105" i="2"/>
  <c r="H105" i="2"/>
  <c r="I105" i="2"/>
  <c r="I6" i="2"/>
  <c r="H6" i="2"/>
  <c r="G6" i="2"/>
  <c r="F6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M6" i="2"/>
  <c r="B15" i="1"/>
  <c r="F15" i="1"/>
  <c r="B14" i="1"/>
  <c r="F14" i="1"/>
  <c r="D9" i="1"/>
  <c r="B9" i="1" s="1"/>
  <c r="B8" i="1"/>
  <c r="F8" i="1"/>
  <c r="B7" i="1"/>
  <c r="B6" i="1"/>
  <c r="F6" i="1"/>
  <c r="F7" i="1"/>
  <c r="H15" i="1"/>
  <c r="H6" i="1"/>
  <c r="H7" i="1"/>
  <c r="H14" i="1"/>
  <c r="H8" i="1"/>
  <c r="F2" i="1"/>
  <c r="C13" i="3" l="1"/>
  <c r="M14" i="3"/>
  <c r="M7" i="2"/>
  <c r="C6" i="2"/>
  <c r="J94" i="2"/>
  <c r="J66" i="2"/>
  <c r="J50" i="2"/>
  <c r="J7" i="2"/>
  <c r="J62" i="2"/>
  <c r="J20" i="2"/>
  <c r="J99" i="2"/>
  <c r="J98" i="2"/>
  <c r="J86" i="2"/>
  <c r="J84" i="2"/>
  <c r="J83" i="2"/>
  <c r="J81" i="2"/>
  <c r="J80" i="2"/>
  <c r="J79" i="2"/>
  <c r="J78" i="2"/>
  <c r="J6" i="2"/>
  <c r="J105" i="2"/>
  <c r="J103" i="2"/>
  <c r="J101" i="2"/>
  <c r="J100" i="2"/>
  <c r="J90" i="2"/>
  <c r="J58" i="2"/>
  <c r="J57" i="2"/>
  <c r="J56" i="2"/>
  <c r="J55" i="2"/>
  <c r="J54" i="2"/>
  <c r="J38" i="2"/>
  <c r="J37" i="2"/>
  <c r="J36" i="2"/>
  <c r="J35" i="2"/>
  <c r="J32" i="2"/>
  <c r="J31" i="2"/>
  <c r="J30" i="2"/>
  <c r="J26" i="2"/>
  <c r="J12" i="2"/>
  <c r="J61" i="2"/>
  <c r="J46" i="2"/>
  <c r="J42" i="2"/>
  <c r="J41" i="2"/>
  <c r="J10" i="2"/>
  <c r="J53" i="2"/>
  <c r="J52" i="2"/>
  <c r="J51" i="2"/>
  <c r="J34" i="2"/>
  <c r="J33" i="2"/>
  <c r="J28" i="2"/>
  <c r="J27" i="2"/>
  <c r="J104" i="2"/>
  <c r="J102" i="2"/>
  <c r="J97" i="2"/>
  <c r="J95" i="2"/>
  <c r="J85" i="2"/>
  <c r="J82" i="2"/>
  <c r="J77" i="2"/>
  <c r="J76" i="2"/>
  <c r="J75" i="2"/>
  <c r="J73" i="2"/>
  <c r="J72" i="2"/>
  <c r="J71" i="2"/>
  <c r="J68" i="2"/>
  <c r="J67" i="2"/>
  <c r="J92" i="2"/>
  <c r="J91" i="2"/>
  <c r="J74" i="2"/>
  <c r="J70" i="2"/>
  <c r="J69" i="2"/>
  <c r="J64" i="2"/>
  <c r="J63" i="2"/>
  <c r="J48" i="2"/>
  <c r="J47" i="2"/>
  <c r="J29" i="2"/>
  <c r="J24" i="2"/>
  <c r="J23" i="2"/>
  <c r="J11" i="2"/>
  <c r="J96" i="2"/>
  <c r="J93" i="2"/>
  <c r="J89" i="2"/>
  <c r="J88" i="2"/>
  <c r="J87" i="2"/>
  <c r="J65" i="2"/>
  <c r="J60" i="2"/>
  <c r="J59" i="2"/>
  <c r="J49" i="2"/>
  <c r="J45" i="2"/>
  <c r="J44" i="2"/>
  <c r="J43" i="2"/>
  <c r="J40" i="2"/>
  <c r="J39" i="2"/>
  <c r="J25" i="2"/>
  <c r="J22" i="2"/>
  <c r="J18" i="2"/>
  <c r="J17" i="2"/>
  <c r="J14" i="2"/>
  <c r="J9" i="2"/>
  <c r="J21" i="2"/>
  <c r="J19" i="2"/>
  <c r="J16" i="2"/>
  <c r="J15" i="2"/>
  <c r="J13" i="2"/>
  <c r="J8" i="2"/>
  <c r="H5" i="2"/>
  <c r="I5" i="2"/>
  <c r="G5" i="2"/>
  <c r="F5" i="2"/>
  <c r="H2" i="2"/>
  <c r="F2" i="2"/>
  <c r="I2" i="2"/>
  <c r="G2" i="2"/>
  <c r="F9" i="1"/>
  <c r="H2" i="1"/>
  <c r="H9" i="1"/>
  <c r="C14" i="3" l="1"/>
  <c r="M15" i="3"/>
  <c r="M8" i="2"/>
  <c r="C7" i="2"/>
  <c r="J2" i="2"/>
  <c r="J5" i="2"/>
  <c r="D16" i="1"/>
  <c r="C15" i="3" l="1"/>
  <c r="M16" i="3"/>
  <c r="M9" i="2"/>
  <c r="C8" i="2"/>
  <c r="F16" i="1"/>
  <c r="D17" i="1"/>
  <c r="B16" i="1"/>
  <c r="H16" i="1"/>
  <c r="C16" i="3" l="1"/>
  <c r="M17" i="3"/>
  <c r="M10" i="2"/>
  <c r="C9" i="2"/>
  <c r="B17" i="1"/>
  <c r="F17" i="1"/>
  <c r="H17" i="1"/>
  <c r="C17" i="3" l="1"/>
  <c r="M18" i="3"/>
  <c r="M11" i="2"/>
  <c r="C10" i="2"/>
  <c r="H19" i="1"/>
  <c r="H21" i="1"/>
  <c r="H22" i="1"/>
  <c r="H20" i="1"/>
  <c r="C18" i="3" l="1"/>
  <c r="M19" i="3"/>
  <c r="M12" i="2"/>
  <c r="C11" i="2"/>
  <c r="H24" i="1"/>
  <c r="C19" i="3" l="1"/>
  <c r="M20" i="3"/>
  <c r="M13" i="2"/>
  <c r="C12" i="2"/>
  <c r="C20" i="3" l="1"/>
  <c r="M21" i="3"/>
  <c r="M14" i="2"/>
  <c r="C13" i="2"/>
  <c r="C21" i="3" l="1"/>
  <c r="M22" i="3"/>
  <c r="M15" i="2"/>
  <c r="C14" i="2"/>
  <c r="C22" i="3" l="1"/>
  <c r="M23" i="3"/>
  <c r="M16" i="2"/>
  <c r="C15" i="2"/>
  <c r="C23" i="3" l="1"/>
  <c r="M24" i="3"/>
  <c r="M17" i="2"/>
  <c r="C16" i="2"/>
  <c r="C24" i="3" l="1"/>
  <c r="M25" i="3"/>
  <c r="M18" i="2"/>
  <c r="C17" i="2"/>
  <c r="C25" i="3" l="1"/>
  <c r="M26" i="3"/>
  <c r="M19" i="2"/>
  <c r="C18" i="2"/>
  <c r="C26" i="3" l="1"/>
  <c r="M27" i="3"/>
  <c r="M20" i="2"/>
  <c r="C19" i="2"/>
  <c r="C27" i="3" l="1"/>
  <c r="M28" i="3"/>
  <c r="M21" i="2"/>
  <c r="C20" i="2"/>
  <c r="C28" i="3" l="1"/>
  <c r="M29" i="3"/>
  <c r="M22" i="2"/>
  <c r="C21" i="2"/>
  <c r="C29" i="3" l="1"/>
  <c r="M30" i="3"/>
  <c r="M23" i="2"/>
  <c r="C22" i="2"/>
  <c r="C30" i="3" l="1"/>
  <c r="M31" i="3"/>
  <c r="M24" i="2"/>
  <c r="C23" i="2"/>
  <c r="C31" i="3" l="1"/>
  <c r="M32" i="3"/>
  <c r="M25" i="2"/>
  <c r="C24" i="2"/>
  <c r="C32" i="3" l="1"/>
  <c r="M33" i="3"/>
  <c r="M26" i="2"/>
  <c r="C25" i="2"/>
  <c r="C33" i="3" l="1"/>
  <c r="M34" i="3"/>
  <c r="M27" i="2"/>
  <c r="C26" i="2"/>
  <c r="C34" i="3" l="1"/>
  <c r="M35" i="3"/>
  <c r="M28" i="2"/>
  <c r="C27" i="2"/>
  <c r="C35" i="3" l="1"/>
  <c r="M36" i="3"/>
  <c r="M29" i="2"/>
  <c r="C28" i="2"/>
  <c r="C36" i="3" l="1"/>
  <c r="M37" i="3"/>
  <c r="M30" i="2"/>
  <c r="C29" i="2"/>
  <c r="C37" i="3" l="1"/>
  <c r="M38" i="3"/>
  <c r="M31" i="2"/>
  <c r="C30" i="2"/>
  <c r="C38" i="3" l="1"/>
  <c r="M39" i="3"/>
  <c r="M32" i="2"/>
  <c r="C31" i="2"/>
  <c r="C39" i="3" l="1"/>
  <c r="M40" i="3"/>
  <c r="M33" i="2"/>
  <c r="C32" i="2"/>
  <c r="C40" i="3" l="1"/>
  <c r="M41" i="3"/>
  <c r="M34" i="2"/>
  <c r="C33" i="2"/>
  <c r="C41" i="3" l="1"/>
  <c r="M42" i="3"/>
  <c r="M35" i="2"/>
  <c r="C34" i="2"/>
  <c r="C42" i="3" l="1"/>
  <c r="M43" i="3"/>
  <c r="M36" i="2"/>
  <c r="C35" i="2"/>
  <c r="C43" i="3" l="1"/>
  <c r="M44" i="3"/>
  <c r="M37" i="2"/>
  <c r="C36" i="2"/>
  <c r="C44" i="3" l="1"/>
  <c r="M45" i="3"/>
  <c r="M38" i="2"/>
  <c r="C37" i="2"/>
  <c r="C45" i="3" l="1"/>
  <c r="M46" i="3"/>
  <c r="M39" i="2"/>
  <c r="C38" i="2"/>
  <c r="C46" i="3" l="1"/>
  <c r="M47" i="3"/>
  <c r="M40" i="2"/>
  <c r="C39" i="2"/>
  <c r="C47" i="3" l="1"/>
  <c r="M48" i="3"/>
  <c r="M41" i="2"/>
  <c r="C40" i="2"/>
  <c r="C48" i="3" l="1"/>
  <c r="M49" i="3"/>
  <c r="M42" i="2"/>
  <c r="C41" i="2"/>
  <c r="C49" i="3" l="1"/>
  <c r="M50" i="3"/>
  <c r="M43" i="2"/>
  <c r="C42" i="2"/>
  <c r="C50" i="3" l="1"/>
  <c r="M51" i="3"/>
  <c r="M44" i="2"/>
  <c r="C43" i="2"/>
  <c r="C51" i="3" l="1"/>
  <c r="M52" i="3"/>
  <c r="M45" i="2"/>
  <c r="C44" i="2"/>
  <c r="C52" i="3" l="1"/>
  <c r="M53" i="3"/>
  <c r="M46" i="2"/>
  <c r="C45" i="2"/>
  <c r="C53" i="3" l="1"/>
  <c r="M54" i="3"/>
  <c r="M47" i="2"/>
  <c r="C46" i="2"/>
  <c r="C54" i="3" l="1"/>
  <c r="M55" i="3"/>
  <c r="M48" i="2"/>
  <c r="C47" i="2"/>
  <c r="C55" i="3" l="1"/>
  <c r="M56" i="3"/>
  <c r="M49" i="2"/>
  <c r="C48" i="2"/>
  <c r="C56" i="3" l="1"/>
  <c r="M57" i="3"/>
  <c r="M50" i="2"/>
  <c r="C49" i="2"/>
  <c r="C57" i="3" l="1"/>
  <c r="M58" i="3"/>
  <c r="M51" i="2"/>
  <c r="C50" i="2"/>
  <c r="C58" i="3" l="1"/>
  <c r="M59" i="3"/>
  <c r="M52" i="2"/>
  <c r="C51" i="2"/>
  <c r="C59" i="3" l="1"/>
  <c r="M60" i="3"/>
  <c r="M53" i="2"/>
  <c r="C52" i="2"/>
  <c r="C60" i="3" l="1"/>
  <c r="M61" i="3"/>
  <c r="M54" i="2"/>
  <c r="C53" i="2"/>
  <c r="C61" i="3" l="1"/>
  <c r="M62" i="3"/>
  <c r="M55" i="2"/>
  <c r="C54" i="2"/>
  <c r="C62" i="3" l="1"/>
  <c r="M63" i="3"/>
  <c r="M56" i="2"/>
  <c r="C55" i="2"/>
  <c r="C63" i="3" l="1"/>
  <c r="M64" i="3"/>
  <c r="M57" i="2"/>
  <c r="C56" i="2"/>
  <c r="C64" i="3" l="1"/>
  <c r="M65" i="3"/>
  <c r="M58" i="2"/>
  <c r="C57" i="2"/>
  <c r="C65" i="3" l="1"/>
  <c r="M66" i="3"/>
  <c r="M59" i="2"/>
  <c r="C58" i="2"/>
  <c r="C66" i="3" l="1"/>
  <c r="M67" i="3"/>
  <c r="M60" i="2"/>
  <c r="C59" i="2"/>
  <c r="C67" i="3" l="1"/>
  <c r="M68" i="3"/>
  <c r="M61" i="2"/>
  <c r="C60" i="2"/>
  <c r="C68" i="3" l="1"/>
  <c r="M69" i="3"/>
  <c r="M62" i="2"/>
  <c r="C61" i="2"/>
  <c r="C69" i="3" l="1"/>
  <c r="M70" i="3"/>
  <c r="M63" i="2"/>
  <c r="C62" i="2"/>
  <c r="C70" i="3" l="1"/>
  <c r="M71" i="3"/>
  <c r="M64" i="2"/>
  <c r="C63" i="2"/>
  <c r="C71" i="3" l="1"/>
  <c r="M72" i="3"/>
  <c r="M65" i="2"/>
  <c r="C64" i="2"/>
  <c r="C72" i="3" l="1"/>
  <c r="M73" i="3"/>
  <c r="M66" i="2"/>
  <c r="C65" i="2"/>
  <c r="C73" i="3" l="1"/>
  <c r="M74" i="3"/>
  <c r="M67" i="2"/>
  <c r="C66" i="2"/>
  <c r="C74" i="3" l="1"/>
  <c r="M75" i="3"/>
  <c r="M68" i="2"/>
  <c r="C67" i="2"/>
  <c r="C75" i="3" l="1"/>
  <c r="M76" i="3"/>
  <c r="M69" i="2"/>
  <c r="C68" i="2"/>
  <c r="C76" i="3" l="1"/>
  <c r="M77" i="3"/>
  <c r="M70" i="2"/>
  <c r="C69" i="2"/>
  <c r="C77" i="3" l="1"/>
  <c r="M78" i="3"/>
  <c r="M71" i="2"/>
  <c r="C70" i="2"/>
  <c r="C78" i="3" l="1"/>
  <c r="M79" i="3"/>
  <c r="M72" i="2"/>
  <c r="C71" i="2"/>
  <c r="C79" i="3" l="1"/>
  <c r="M80" i="3"/>
  <c r="M73" i="2"/>
  <c r="C72" i="2"/>
  <c r="C80" i="3" l="1"/>
  <c r="M81" i="3"/>
  <c r="M74" i="2"/>
  <c r="C73" i="2"/>
  <c r="C81" i="3" l="1"/>
  <c r="M82" i="3"/>
  <c r="M75" i="2"/>
  <c r="C74" i="2"/>
  <c r="C82" i="3" l="1"/>
  <c r="M83" i="3"/>
  <c r="M76" i="2"/>
  <c r="C75" i="2"/>
  <c r="C83" i="3" l="1"/>
  <c r="M84" i="3"/>
  <c r="M77" i="2"/>
  <c r="C76" i="2"/>
  <c r="C84" i="3" l="1"/>
  <c r="M85" i="3"/>
  <c r="M78" i="2"/>
  <c r="C77" i="2"/>
  <c r="C85" i="3" l="1"/>
  <c r="M86" i="3"/>
  <c r="M79" i="2"/>
  <c r="C78" i="2"/>
  <c r="C86" i="3" l="1"/>
  <c r="M87" i="3"/>
  <c r="M80" i="2"/>
  <c r="C79" i="2"/>
  <c r="C87" i="3" l="1"/>
  <c r="M88" i="3"/>
  <c r="M81" i="2"/>
  <c r="C80" i="2"/>
  <c r="C88" i="3" l="1"/>
  <c r="M89" i="3"/>
  <c r="M82" i="2"/>
  <c r="C81" i="2"/>
  <c r="C89" i="3" l="1"/>
  <c r="M90" i="3"/>
  <c r="M83" i="2"/>
  <c r="C82" i="2"/>
  <c r="C90" i="3" l="1"/>
  <c r="M91" i="3"/>
  <c r="M84" i="2"/>
  <c r="C83" i="2"/>
  <c r="C91" i="3" l="1"/>
  <c r="M92" i="3"/>
  <c r="M85" i="2"/>
  <c r="C84" i="2"/>
  <c r="C92" i="3" l="1"/>
  <c r="M93" i="3"/>
  <c r="M86" i="2"/>
  <c r="C85" i="2"/>
  <c r="C93" i="3" l="1"/>
  <c r="M94" i="3"/>
  <c r="M87" i="2"/>
  <c r="C86" i="2"/>
  <c r="C94" i="3" l="1"/>
  <c r="M95" i="3"/>
  <c r="M88" i="2"/>
  <c r="C87" i="2"/>
  <c r="C95" i="3" l="1"/>
  <c r="M96" i="3"/>
  <c r="M89" i="2"/>
  <c r="C88" i="2"/>
  <c r="C96" i="3" l="1"/>
  <c r="M97" i="3"/>
  <c r="M90" i="2"/>
  <c r="C89" i="2"/>
  <c r="C97" i="3" l="1"/>
  <c r="M98" i="3"/>
  <c r="M91" i="2"/>
  <c r="C90" i="2"/>
  <c r="C98" i="3" l="1"/>
  <c r="M99" i="3"/>
  <c r="M92" i="2"/>
  <c r="C91" i="2"/>
  <c r="C99" i="3" l="1"/>
  <c r="M100" i="3"/>
  <c r="M93" i="2"/>
  <c r="C92" i="2"/>
  <c r="C100" i="3" l="1"/>
  <c r="M101" i="3"/>
  <c r="M94" i="2"/>
  <c r="C93" i="2"/>
  <c r="C101" i="3" l="1"/>
  <c r="M102" i="3"/>
  <c r="M95" i="2"/>
  <c r="C94" i="2"/>
  <c r="C102" i="3" l="1"/>
  <c r="M103" i="3"/>
  <c r="M96" i="2"/>
  <c r="C95" i="2"/>
  <c r="C103" i="3" l="1"/>
  <c r="M104" i="3"/>
  <c r="M97" i="2"/>
  <c r="C96" i="2"/>
  <c r="C104" i="3" l="1"/>
  <c r="M105" i="3"/>
  <c r="M98" i="2"/>
  <c r="C97" i="2"/>
  <c r="C105" i="3" l="1"/>
  <c r="M106" i="3"/>
  <c r="M99" i="2"/>
  <c r="C98" i="2"/>
  <c r="C106" i="3" l="1"/>
  <c r="M107" i="3"/>
  <c r="M100" i="2"/>
  <c r="C99" i="2"/>
  <c r="C107" i="3" l="1"/>
  <c r="M108" i="3"/>
  <c r="M101" i="2"/>
  <c r="C100" i="2"/>
  <c r="C108" i="3" l="1"/>
  <c r="M109" i="3"/>
  <c r="M102" i="2"/>
  <c r="C101" i="2"/>
  <c r="C109" i="3" l="1"/>
  <c r="M110" i="3"/>
  <c r="M103" i="2"/>
  <c r="C102" i="2"/>
  <c r="C110" i="3" l="1"/>
  <c r="M111" i="3"/>
  <c r="M104" i="2"/>
  <c r="C103" i="2"/>
  <c r="C111" i="3" l="1"/>
  <c r="M112" i="3"/>
  <c r="C104" i="2"/>
  <c r="M105" i="2"/>
  <c r="C112" i="3" l="1"/>
  <c r="M113" i="3"/>
  <c r="M106" i="2"/>
  <c r="C105" i="2"/>
  <c r="C113" i="3" l="1"/>
  <c r="M114" i="3"/>
  <c r="M107" i="2"/>
  <c r="C106" i="2"/>
  <c r="C114" i="3" l="1"/>
  <c r="M115" i="3"/>
  <c r="M108" i="2"/>
  <c r="C107" i="2"/>
  <c r="C115" i="3" l="1"/>
  <c r="M116" i="3"/>
  <c r="M109" i="2"/>
  <c r="C108" i="2"/>
  <c r="C116" i="3" l="1"/>
  <c r="M117" i="3"/>
  <c r="M110" i="2"/>
  <c r="C109" i="2"/>
  <c r="C117" i="3" l="1"/>
  <c r="M118" i="3"/>
  <c r="M111" i="2"/>
  <c r="C110" i="2"/>
  <c r="C118" i="3" l="1"/>
  <c r="M119" i="3"/>
  <c r="M112" i="2"/>
  <c r="C111" i="2"/>
  <c r="C119" i="3" l="1"/>
  <c r="M120" i="3"/>
  <c r="M113" i="2"/>
  <c r="C112" i="2"/>
  <c r="C120" i="3" l="1"/>
  <c r="M121" i="3"/>
  <c r="M114" i="2"/>
  <c r="C113" i="2"/>
  <c r="C121" i="3" l="1"/>
  <c r="M122" i="3"/>
  <c r="M115" i="2"/>
  <c r="C114" i="2"/>
  <c r="C122" i="3" l="1"/>
  <c r="M123" i="3"/>
  <c r="M116" i="2"/>
  <c r="C115" i="2"/>
  <c r="C123" i="3" l="1"/>
  <c r="M124" i="3"/>
  <c r="M117" i="2"/>
  <c r="C116" i="2"/>
  <c r="C124" i="3" l="1"/>
  <c r="M125" i="3"/>
  <c r="M118" i="2"/>
  <c r="C117" i="2"/>
  <c r="C125" i="3" l="1"/>
  <c r="M126" i="3"/>
  <c r="M119" i="2"/>
  <c r="C118" i="2"/>
  <c r="C126" i="3" l="1"/>
  <c r="M127" i="3"/>
  <c r="M120" i="2"/>
  <c r="C119" i="2"/>
  <c r="C127" i="3" l="1"/>
  <c r="M128" i="3"/>
  <c r="M121" i="2"/>
  <c r="C120" i="2"/>
  <c r="C128" i="3" l="1"/>
  <c r="M129" i="3"/>
  <c r="M122" i="2"/>
  <c r="C121" i="2"/>
  <c r="C129" i="3" l="1"/>
  <c r="M130" i="3"/>
  <c r="M123" i="2"/>
  <c r="C122" i="2"/>
  <c r="C130" i="3" l="1"/>
  <c r="M131" i="3"/>
  <c r="M124" i="2"/>
  <c r="C123" i="2"/>
  <c r="C131" i="3" l="1"/>
  <c r="M132" i="3"/>
  <c r="M125" i="2"/>
  <c r="C124" i="2"/>
  <c r="C132" i="3" l="1"/>
  <c r="M133" i="3"/>
  <c r="M126" i="2"/>
  <c r="C125" i="2"/>
  <c r="C133" i="3" l="1"/>
  <c r="M134" i="3"/>
  <c r="M127" i="2"/>
  <c r="C126" i="2"/>
  <c r="C134" i="3" l="1"/>
  <c r="M135" i="3"/>
  <c r="M128" i="2"/>
  <c r="C127" i="2"/>
  <c r="C135" i="3" l="1"/>
  <c r="M136" i="3"/>
  <c r="M129" i="2"/>
  <c r="C128" i="2"/>
  <c r="C136" i="3" l="1"/>
  <c r="M137" i="3"/>
  <c r="M130" i="2"/>
  <c r="C129" i="2"/>
  <c r="C137" i="3" l="1"/>
  <c r="M138" i="3"/>
  <c r="M131" i="2"/>
  <c r="C130" i="2"/>
  <c r="C138" i="3" l="1"/>
  <c r="M139" i="3"/>
  <c r="M132" i="2"/>
  <c r="C131" i="2"/>
  <c r="C139" i="3" l="1"/>
  <c r="M140" i="3"/>
  <c r="M133" i="2"/>
  <c r="C132" i="2"/>
  <c r="C140" i="3" l="1"/>
  <c r="M141" i="3"/>
  <c r="M134" i="2"/>
  <c r="C133" i="2"/>
  <c r="C141" i="3" l="1"/>
  <c r="M142" i="3"/>
  <c r="M135" i="2"/>
  <c r="C134" i="2"/>
  <c r="C142" i="3" l="1"/>
  <c r="M143" i="3"/>
  <c r="M136" i="2"/>
  <c r="C135" i="2"/>
  <c r="C143" i="3" l="1"/>
  <c r="M144" i="3"/>
  <c r="M137" i="2"/>
  <c r="C136" i="2"/>
  <c r="C144" i="3" l="1"/>
  <c r="M145" i="3"/>
  <c r="M138" i="2"/>
  <c r="C137" i="2"/>
  <c r="C145" i="3" l="1"/>
  <c r="M146" i="3"/>
  <c r="M139" i="2"/>
  <c r="C138" i="2"/>
  <c r="C146" i="3" l="1"/>
  <c r="M147" i="3"/>
  <c r="M140" i="2"/>
  <c r="C139" i="2"/>
  <c r="C147" i="3" l="1"/>
  <c r="M148" i="3"/>
  <c r="M141" i="2"/>
  <c r="C140" i="2"/>
  <c r="C148" i="3" l="1"/>
  <c r="M149" i="3"/>
  <c r="M142" i="2"/>
  <c r="C141" i="2"/>
  <c r="C149" i="3" l="1"/>
  <c r="M150" i="3"/>
  <c r="M143" i="2"/>
  <c r="C142" i="2"/>
  <c r="C150" i="3" l="1"/>
  <c r="M151" i="3"/>
  <c r="M144" i="2"/>
  <c r="C143" i="2"/>
  <c r="C151" i="3" l="1"/>
  <c r="M152" i="3"/>
  <c r="M145" i="2"/>
  <c r="C144" i="2"/>
  <c r="C152" i="3" l="1"/>
  <c r="M153" i="3"/>
  <c r="M146" i="2"/>
  <c r="C145" i="2"/>
  <c r="C153" i="3" l="1"/>
  <c r="M154" i="3"/>
  <c r="M147" i="2"/>
  <c r="C146" i="2"/>
  <c r="C154" i="3" l="1"/>
  <c r="M155" i="3"/>
  <c r="M148" i="2"/>
  <c r="C147" i="2"/>
  <c r="C155" i="3" l="1"/>
  <c r="M156" i="3"/>
  <c r="M149" i="2"/>
  <c r="C148" i="2"/>
  <c r="C156" i="3" l="1"/>
  <c r="M157" i="3"/>
  <c r="M150" i="2"/>
  <c r="C149" i="2"/>
  <c r="C157" i="3" l="1"/>
  <c r="M158" i="3"/>
  <c r="M151" i="2"/>
  <c r="C150" i="2"/>
  <c r="C158" i="3" l="1"/>
  <c r="M159" i="3"/>
  <c r="M152" i="2"/>
  <c r="C151" i="2"/>
  <c r="C159" i="3" l="1"/>
  <c r="M160" i="3"/>
  <c r="M153" i="2"/>
  <c r="C152" i="2"/>
  <c r="C160" i="3" l="1"/>
  <c r="M161" i="3"/>
  <c r="M154" i="2"/>
  <c r="C153" i="2"/>
  <c r="C161" i="3" l="1"/>
  <c r="M162" i="3"/>
  <c r="M155" i="2"/>
  <c r="C154" i="2"/>
  <c r="C162" i="3" l="1"/>
  <c r="M163" i="3"/>
  <c r="M156" i="2"/>
  <c r="C155" i="2"/>
  <c r="C163" i="3" l="1"/>
  <c r="M164" i="3"/>
  <c r="M157" i="2"/>
  <c r="C156" i="2"/>
  <c r="C164" i="3" l="1"/>
  <c r="M165" i="3"/>
  <c r="M158" i="2"/>
  <c r="C157" i="2"/>
  <c r="C165" i="3" l="1"/>
  <c r="M166" i="3"/>
  <c r="M159" i="2"/>
  <c r="C158" i="2"/>
  <c r="C166" i="3" l="1"/>
  <c r="M167" i="3"/>
  <c r="M160" i="2"/>
  <c r="C159" i="2"/>
  <c r="C167" i="3" l="1"/>
  <c r="M168" i="3"/>
  <c r="M161" i="2"/>
  <c r="C160" i="2"/>
  <c r="C168" i="3" l="1"/>
  <c r="M169" i="3"/>
  <c r="M162" i="2"/>
  <c r="C161" i="2"/>
  <c r="C169" i="3" l="1"/>
  <c r="M170" i="3"/>
  <c r="M163" i="2"/>
  <c r="C162" i="2"/>
  <c r="C170" i="3" l="1"/>
  <c r="M171" i="3"/>
  <c r="M164" i="2"/>
  <c r="C163" i="2"/>
  <c r="C171" i="3" l="1"/>
  <c r="M172" i="3"/>
  <c r="M165" i="2"/>
  <c r="C164" i="2"/>
  <c r="C172" i="3" l="1"/>
  <c r="M173" i="3"/>
  <c r="M166" i="2"/>
  <c r="C165" i="2"/>
  <c r="C173" i="3" l="1"/>
  <c r="M174" i="3"/>
  <c r="M167" i="2"/>
  <c r="C166" i="2"/>
  <c r="C174" i="3" l="1"/>
  <c r="M175" i="3"/>
  <c r="M168" i="2"/>
  <c r="C167" i="2"/>
  <c r="C175" i="3" l="1"/>
  <c r="M176" i="3"/>
  <c r="M169" i="2"/>
  <c r="C168" i="2"/>
  <c r="C176" i="3" l="1"/>
  <c r="M177" i="3"/>
  <c r="M170" i="2"/>
  <c r="C169" i="2"/>
  <c r="C177" i="3" l="1"/>
  <c r="M178" i="3"/>
  <c r="M171" i="2"/>
  <c r="C170" i="2"/>
  <c r="C178" i="3" l="1"/>
  <c r="M179" i="3"/>
  <c r="M172" i="2"/>
  <c r="C171" i="2"/>
  <c r="C179" i="3" l="1"/>
  <c r="M180" i="3"/>
  <c r="M173" i="2"/>
  <c r="C172" i="2"/>
  <c r="C180" i="3" l="1"/>
  <c r="M181" i="3"/>
  <c r="M174" i="2"/>
  <c r="C173" i="2"/>
  <c r="C181" i="3" l="1"/>
  <c r="M182" i="3"/>
  <c r="M175" i="2"/>
  <c r="C174" i="2"/>
  <c r="C182" i="3" l="1"/>
  <c r="M183" i="3"/>
  <c r="M176" i="2"/>
  <c r="C175" i="2"/>
  <c r="C183" i="3" l="1"/>
  <c r="M184" i="3"/>
  <c r="M177" i="2"/>
  <c r="C176" i="2"/>
  <c r="C184" i="3" l="1"/>
  <c r="M185" i="3"/>
  <c r="M178" i="2"/>
  <c r="C177" i="2"/>
  <c r="C185" i="3" l="1"/>
  <c r="M186" i="3"/>
  <c r="M179" i="2"/>
  <c r="C178" i="2"/>
  <c r="C186" i="3" l="1"/>
  <c r="M187" i="3"/>
  <c r="M180" i="2"/>
  <c r="C179" i="2"/>
  <c r="C187" i="3" l="1"/>
  <c r="M188" i="3"/>
  <c r="M181" i="2"/>
  <c r="C180" i="2"/>
  <c r="C188" i="3" l="1"/>
  <c r="M189" i="3"/>
  <c r="M182" i="2"/>
  <c r="C181" i="2"/>
  <c r="C189" i="3" l="1"/>
  <c r="M190" i="3"/>
  <c r="M183" i="2"/>
  <c r="C182" i="2"/>
  <c r="C190" i="3" l="1"/>
  <c r="M191" i="3"/>
  <c r="M184" i="2"/>
  <c r="C183" i="2"/>
  <c r="C191" i="3" l="1"/>
  <c r="M192" i="3"/>
  <c r="M185" i="2"/>
  <c r="C184" i="2"/>
  <c r="C192" i="3" l="1"/>
  <c r="M193" i="3"/>
  <c r="M186" i="2"/>
  <c r="C185" i="2"/>
  <c r="C193" i="3" l="1"/>
  <c r="M194" i="3"/>
  <c r="M187" i="2"/>
  <c r="C186" i="2"/>
  <c r="C194" i="3" l="1"/>
  <c r="M195" i="3"/>
  <c r="M188" i="2"/>
  <c r="C187" i="2"/>
  <c r="C195" i="3" l="1"/>
  <c r="M196" i="3"/>
  <c r="M189" i="2"/>
  <c r="C188" i="2"/>
  <c r="C196" i="3" l="1"/>
  <c r="M197" i="3"/>
  <c r="M190" i="2"/>
  <c r="C189" i="2"/>
  <c r="C197" i="3" l="1"/>
  <c r="M198" i="3"/>
  <c r="M191" i="2"/>
  <c r="C190" i="2"/>
  <c r="C198" i="3" l="1"/>
  <c r="M199" i="3"/>
  <c r="M192" i="2"/>
  <c r="C191" i="2"/>
  <c r="C199" i="3" l="1"/>
  <c r="M200" i="3"/>
  <c r="M193" i="2"/>
  <c r="C192" i="2"/>
  <c r="C200" i="3" l="1"/>
  <c r="M201" i="3"/>
  <c r="M194" i="2"/>
  <c r="C193" i="2"/>
  <c r="C201" i="3" l="1"/>
  <c r="M202" i="3"/>
  <c r="M195" i="2"/>
  <c r="C194" i="2"/>
  <c r="C202" i="3" l="1"/>
  <c r="M203" i="3"/>
  <c r="M196" i="2"/>
  <c r="C195" i="2"/>
  <c r="C203" i="3" l="1"/>
  <c r="M204" i="3"/>
  <c r="M197" i="2"/>
  <c r="C196" i="2"/>
  <c r="C204" i="3" l="1"/>
  <c r="M205" i="3"/>
  <c r="M198" i="2"/>
  <c r="C197" i="2"/>
  <c r="C205" i="3" l="1"/>
  <c r="M206" i="3"/>
  <c r="M199" i="2"/>
  <c r="C198" i="2"/>
  <c r="C206" i="3" l="1"/>
  <c r="M207" i="3"/>
  <c r="M200" i="2"/>
  <c r="C199" i="2"/>
  <c r="C207" i="3" l="1"/>
  <c r="M208" i="3"/>
  <c r="M201" i="2"/>
  <c r="C200" i="2"/>
  <c r="C208" i="3" l="1"/>
  <c r="M209" i="3"/>
  <c r="M202" i="2"/>
  <c r="C201" i="2"/>
  <c r="C209" i="3" l="1"/>
  <c r="M210" i="3"/>
  <c r="M203" i="2"/>
  <c r="C202" i="2"/>
  <c r="C210" i="3" l="1"/>
  <c r="M211" i="3"/>
  <c r="M204" i="2"/>
  <c r="C203" i="2"/>
  <c r="C211" i="3" l="1"/>
  <c r="M212" i="3"/>
  <c r="M205" i="2"/>
  <c r="C204" i="2"/>
  <c r="C212" i="3" l="1"/>
  <c r="M213" i="3"/>
  <c r="M206" i="2"/>
  <c r="C205" i="2"/>
  <c r="C213" i="3" l="1"/>
  <c r="M214" i="3"/>
  <c r="M207" i="2"/>
  <c r="C206" i="2"/>
  <c r="C214" i="3" l="1"/>
  <c r="M215" i="3"/>
  <c r="M208" i="2"/>
  <c r="C207" i="2"/>
  <c r="C215" i="3" l="1"/>
  <c r="M216" i="3"/>
  <c r="M209" i="2"/>
  <c r="C208" i="2"/>
  <c r="C216" i="3" l="1"/>
  <c r="M217" i="3"/>
  <c r="M210" i="2"/>
  <c r="C209" i="2"/>
  <c r="C217" i="3" l="1"/>
  <c r="M218" i="3"/>
  <c r="M211" i="2"/>
  <c r="C210" i="2"/>
  <c r="C218" i="3" l="1"/>
  <c r="M219" i="3"/>
  <c r="M212" i="2"/>
  <c r="C211" i="2"/>
  <c r="C219" i="3" l="1"/>
  <c r="M220" i="3"/>
  <c r="M213" i="2"/>
  <c r="C212" i="2"/>
  <c r="C220" i="3" l="1"/>
  <c r="M221" i="3"/>
  <c r="M214" i="2"/>
  <c r="C213" i="2"/>
  <c r="C221" i="3" l="1"/>
  <c r="M222" i="3"/>
  <c r="M215" i="2"/>
  <c r="C214" i="2"/>
  <c r="M223" i="3" l="1"/>
  <c r="C222" i="3"/>
  <c r="M216" i="2"/>
  <c r="C215" i="2"/>
  <c r="M224" i="3" l="1"/>
  <c r="C223" i="3"/>
  <c r="M217" i="2"/>
  <c r="C216" i="2"/>
  <c r="M225" i="3" l="1"/>
  <c r="C224" i="3"/>
  <c r="M218" i="2"/>
  <c r="C217" i="2"/>
  <c r="C225" i="3" l="1"/>
  <c r="M226" i="3"/>
  <c r="M219" i="2"/>
  <c r="C218" i="2"/>
  <c r="M227" i="3" l="1"/>
  <c r="C226" i="3"/>
  <c r="M220" i="2"/>
  <c r="C219" i="2"/>
  <c r="M228" i="3" l="1"/>
  <c r="C227" i="3"/>
  <c r="M221" i="2"/>
  <c r="C220" i="2"/>
  <c r="M229" i="3" l="1"/>
  <c r="C228" i="3"/>
  <c r="M222" i="2"/>
  <c r="C221" i="2"/>
  <c r="C229" i="3" l="1"/>
  <c r="M230" i="3"/>
  <c r="M223" i="2"/>
  <c r="C222" i="2"/>
  <c r="M231" i="3" l="1"/>
  <c r="C230" i="3"/>
  <c r="M224" i="2"/>
  <c r="C223" i="2"/>
  <c r="M232" i="3" l="1"/>
  <c r="C231" i="3"/>
  <c r="M225" i="2"/>
  <c r="C224" i="2"/>
  <c r="M233" i="3" l="1"/>
  <c r="C232" i="3"/>
  <c r="M226" i="2"/>
  <c r="C225" i="2"/>
  <c r="M234" i="3" l="1"/>
  <c r="C233" i="3"/>
  <c r="M227" i="2"/>
  <c r="C226" i="2"/>
  <c r="M235" i="3" l="1"/>
  <c r="C234" i="3"/>
  <c r="M228" i="2"/>
  <c r="C227" i="2"/>
  <c r="M236" i="3" l="1"/>
  <c r="C235" i="3"/>
  <c r="M229" i="2"/>
  <c r="C228" i="2"/>
  <c r="M237" i="3" l="1"/>
  <c r="C236" i="3"/>
  <c r="M230" i="2"/>
  <c r="C229" i="2"/>
  <c r="M238" i="3" l="1"/>
  <c r="C237" i="3"/>
  <c r="M231" i="2"/>
  <c r="C230" i="2"/>
  <c r="M239" i="3" l="1"/>
  <c r="C238" i="3"/>
  <c r="M232" i="2"/>
  <c r="C231" i="2"/>
  <c r="M240" i="3" l="1"/>
  <c r="C239" i="3"/>
  <c r="M233" i="2"/>
  <c r="C232" i="2"/>
  <c r="M241" i="3" l="1"/>
  <c r="C240" i="3"/>
  <c r="M234" i="2"/>
  <c r="C233" i="2"/>
  <c r="M242" i="3" l="1"/>
  <c r="C241" i="3"/>
  <c r="M235" i="2"/>
  <c r="C234" i="2"/>
  <c r="M243" i="3" l="1"/>
  <c r="C242" i="3"/>
  <c r="M236" i="2"/>
  <c r="C235" i="2"/>
  <c r="M244" i="3" l="1"/>
  <c r="C243" i="3"/>
  <c r="M237" i="2"/>
  <c r="C236" i="2"/>
  <c r="M245" i="3" l="1"/>
  <c r="C244" i="3"/>
  <c r="M238" i="2"/>
  <c r="C237" i="2"/>
  <c r="M246" i="3" l="1"/>
  <c r="C245" i="3"/>
  <c r="M239" i="2"/>
  <c r="C238" i="2"/>
  <c r="M247" i="3" l="1"/>
  <c r="C246" i="3"/>
  <c r="M240" i="2"/>
  <c r="C239" i="2"/>
  <c r="M248" i="3" l="1"/>
  <c r="C247" i="3"/>
  <c r="M241" i="2"/>
  <c r="C240" i="2"/>
  <c r="M249" i="3" l="1"/>
  <c r="C248" i="3"/>
  <c r="M242" i="2"/>
  <c r="C241" i="2"/>
  <c r="M250" i="3" l="1"/>
  <c r="C249" i="3"/>
  <c r="M243" i="2"/>
  <c r="C242" i="2"/>
  <c r="M251" i="3" l="1"/>
  <c r="C250" i="3"/>
  <c r="M244" i="2"/>
  <c r="C243" i="2"/>
  <c r="M252" i="3" l="1"/>
  <c r="C251" i="3"/>
  <c r="M245" i="2"/>
  <c r="C244" i="2"/>
  <c r="M253" i="3" l="1"/>
  <c r="C252" i="3"/>
  <c r="M246" i="2"/>
  <c r="C245" i="2"/>
  <c r="M254" i="3" l="1"/>
  <c r="C253" i="3"/>
  <c r="M247" i="2"/>
  <c r="C246" i="2"/>
  <c r="M255" i="3" l="1"/>
  <c r="C254" i="3"/>
  <c r="M248" i="2"/>
  <c r="C247" i="2"/>
  <c r="C255" i="3" l="1"/>
  <c r="M256" i="3"/>
  <c r="M249" i="2"/>
  <c r="C248" i="2"/>
  <c r="C256" i="3" l="1"/>
  <c r="M257" i="3"/>
  <c r="M250" i="2"/>
  <c r="C249" i="2"/>
  <c r="C257" i="3" l="1"/>
  <c r="M258" i="3"/>
  <c r="M251" i="2"/>
  <c r="C250" i="2"/>
  <c r="C258" i="3" l="1"/>
  <c r="M259" i="3"/>
  <c r="M252" i="2"/>
  <c r="C251" i="2"/>
  <c r="C259" i="3" l="1"/>
  <c r="M260" i="3"/>
  <c r="M253" i="2"/>
  <c r="C252" i="2"/>
  <c r="C260" i="3" l="1"/>
  <c r="M261" i="3"/>
  <c r="M254" i="2"/>
  <c r="C253" i="2"/>
  <c r="C261" i="3" l="1"/>
  <c r="M262" i="3"/>
  <c r="M255" i="2"/>
  <c r="C254" i="2"/>
  <c r="C262" i="3" l="1"/>
  <c r="M263" i="3"/>
  <c r="M256" i="2"/>
  <c r="C255" i="2"/>
  <c r="C263" i="3" l="1"/>
  <c r="M264" i="3"/>
  <c r="M257" i="2"/>
  <c r="C256" i="2"/>
  <c r="C264" i="3" l="1"/>
  <c r="M265" i="3"/>
  <c r="M258" i="2"/>
  <c r="C257" i="2"/>
  <c r="C265" i="3" l="1"/>
  <c r="M266" i="3"/>
  <c r="M259" i="2"/>
  <c r="C258" i="2"/>
  <c r="C266" i="3" l="1"/>
  <c r="M267" i="3"/>
  <c r="M260" i="2"/>
  <c r="C259" i="2"/>
  <c r="C267" i="3" l="1"/>
  <c r="M268" i="3"/>
  <c r="M261" i="2"/>
  <c r="C260" i="2"/>
  <c r="C268" i="3" l="1"/>
  <c r="M269" i="3"/>
  <c r="M262" i="2"/>
  <c r="C261" i="2"/>
  <c r="C269" i="3" l="1"/>
  <c r="M270" i="3"/>
  <c r="M263" i="2"/>
  <c r="C262" i="2"/>
  <c r="C270" i="3" l="1"/>
  <c r="M271" i="3"/>
  <c r="M264" i="2"/>
  <c r="C263" i="2"/>
  <c r="C271" i="3" l="1"/>
  <c r="M272" i="3"/>
  <c r="M265" i="2"/>
  <c r="C264" i="2"/>
  <c r="C272" i="3" l="1"/>
  <c r="M273" i="3"/>
  <c r="M266" i="2"/>
  <c r="C265" i="2"/>
  <c r="C273" i="3" l="1"/>
  <c r="M274" i="3"/>
  <c r="M267" i="2"/>
  <c r="C266" i="2"/>
  <c r="C274" i="3" l="1"/>
  <c r="M275" i="3"/>
  <c r="M268" i="2"/>
  <c r="C267" i="2"/>
  <c r="C275" i="3" l="1"/>
  <c r="M276" i="3"/>
  <c r="M269" i="2"/>
  <c r="C268" i="2"/>
  <c r="C276" i="3" l="1"/>
  <c r="M277" i="3"/>
  <c r="M270" i="2"/>
  <c r="C269" i="2"/>
  <c r="C277" i="3" l="1"/>
  <c r="M278" i="3"/>
  <c r="M271" i="2"/>
  <c r="C270" i="2"/>
  <c r="C278" i="3" l="1"/>
  <c r="M279" i="3"/>
  <c r="M272" i="2"/>
  <c r="C271" i="2"/>
  <c r="C279" i="3" l="1"/>
  <c r="M280" i="3"/>
  <c r="M273" i="2"/>
  <c r="C272" i="2"/>
  <c r="C280" i="3" l="1"/>
  <c r="M281" i="3"/>
  <c r="M274" i="2"/>
  <c r="C273" i="2"/>
  <c r="C281" i="3" l="1"/>
  <c r="M282" i="3"/>
  <c r="M275" i="2"/>
  <c r="C274" i="2"/>
  <c r="C282" i="3" l="1"/>
  <c r="M283" i="3"/>
  <c r="M276" i="2"/>
  <c r="C275" i="2"/>
  <c r="C283" i="3" l="1"/>
  <c r="M284" i="3"/>
  <c r="M277" i="2"/>
  <c r="C276" i="2"/>
  <c r="C284" i="3" l="1"/>
  <c r="M285" i="3"/>
  <c r="M278" i="2"/>
  <c r="C277" i="2"/>
  <c r="C285" i="3" l="1"/>
  <c r="M286" i="3"/>
  <c r="M279" i="2"/>
  <c r="C278" i="2"/>
  <c r="C286" i="3" l="1"/>
  <c r="M287" i="3"/>
  <c r="M280" i="2"/>
  <c r="C279" i="2"/>
  <c r="C287" i="3" l="1"/>
  <c r="M288" i="3"/>
  <c r="M281" i="2"/>
  <c r="C280" i="2"/>
  <c r="C288" i="3" l="1"/>
  <c r="M289" i="3"/>
  <c r="M282" i="2"/>
  <c r="C281" i="2"/>
  <c r="C289" i="3" l="1"/>
  <c r="M290" i="3"/>
  <c r="M283" i="2"/>
  <c r="C282" i="2"/>
  <c r="C290" i="3" l="1"/>
  <c r="M291" i="3"/>
  <c r="M284" i="2"/>
  <c r="C283" i="2"/>
  <c r="C291" i="3" l="1"/>
  <c r="M292" i="3"/>
  <c r="M285" i="2"/>
  <c r="C284" i="2"/>
  <c r="C292" i="3" l="1"/>
  <c r="M293" i="3"/>
  <c r="M286" i="2"/>
  <c r="C285" i="2"/>
  <c r="C293" i="3" l="1"/>
  <c r="M294" i="3"/>
  <c r="M287" i="2"/>
  <c r="C286" i="2"/>
  <c r="C294" i="3" l="1"/>
  <c r="M295" i="3"/>
  <c r="M288" i="2"/>
  <c r="C287" i="2"/>
  <c r="C295" i="3" l="1"/>
  <c r="M296" i="3"/>
  <c r="M289" i="2"/>
  <c r="C288" i="2"/>
  <c r="C296" i="3" l="1"/>
  <c r="M297" i="3"/>
  <c r="M290" i="2"/>
  <c r="C289" i="2"/>
  <c r="C297" i="3" l="1"/>
  <c r="M298" i="3"/>
  <c r="M291" i="2"/>
  <c r="C290" i="2"/>
  <c r="C298" i="3" l="1"/>
  <c r="M299" i="3"/>
  <c r="M292" i="2"/>
  <c r="C291" i="2"/>
  <c r="C299" i="3" l="1"/>
  <c r="M300" i="3"/>
  <c r="M293" i="2"/>
  <c r="C292" i="2"/>
  <c r="C300" i="3" l="1"/>
  <c r="M301" i="3"/>
  <c r="M294" i="2"/>
  <c r="C293" i="2"/>
  <c r="C301" i="3" l="1"/>
  <c r="M302" i="3"/>
  <c r="M295" i="2"/>
  <c r="C294" i="2"/>
  <c r="C302" i="3" l="1"/>
  <c r="M303" i="3"/>
  <c r="M296" i="2"/>
  <c r="C295" i="2"/>
  <c r="C303" i="3" l="1"/>
  <c r="M304" i="3"/>
  <c r="M297" i="2"/>
  <c r="C296" i="2"/>
  <c r="C304" i="3" l="1"/>
  <c r="M305" i="3"/>
  <c r="M298" i="2"/>
  <c r="C297" i="2"/>
  <c r="C305" i="3" l="1"/>
  <c r="M306" i="3"/>
  <c r="M299" i="2"/>
  <c r="C298" i="2"/>
  <c r="C306" i="3" l="1"/>
  <c r="M307" i="3"/>
  <c r="M300" i="2"/>
  <c r="C299" i="2"/>
  <c r="C307" i="3" l="1"/>
  <c r="M308" i="3"/>
  <c r="M301" i="2"/>
  <c r="C300" i="2"/>
  <c r="C308" i="3" l="1"/>
  <c r="M309" i="3"/>
  <c r="M302" i="2"/>
  <c r="C301" i="2"/>
  <c r="C309" i="3" l="1"/>
  <c r="M310" i="3"/>
  <c r="M303" i="2"/>
  <c r="C302" i="2"/>
  <c r="C310" i="3" l="1"/>
  <c r="M311" i="3"/>
  <c r="M304" i="2"/>
  <c r="C303" i="2"/>
  <c r="C311" i="3" l="1"/>
  <c r="M312" i="3"/>
  <c r="M305" i="2"/>
  <c r="C304" i="2"/>
  <c r="C312" i="3" l="1"/>
  <c r="M313" i="3"/>
  <c r="M306" i="2"/>
  <c r="C305" i="2"/>
  <c r="C313" i="3" l="1"/>
  <c r="M314" i="3"/>
  <c r="M307" i="2"/>
  <c r="C306" i="2"/>
  <c r="C314" i="3" l="1"/>
  <c r="M315" i="3"/>
  <c r="M308" i="2"/>
  <c r="C307" i="2"/>
  <c r="C315" i="3" l="1"/>
  <c r="M316" i="3"/>
  <c r="M309" i="2"/>
  <c r="C308" i="2"/>
  <c r="C316" i="3" l="1"/>
  <c r="M317" i="3"/>
  <c r="M310" i="2"/>
  <c r="C309" i="2"/>
  <c r="C317" i="3" l="1"/>
  <c r="M318" i="3"/>
  <c r="M311" i="2"/>
  <c r="C310" i="2"/>
  <c r="C318" i="3" l="1"/>
  <c r="M319" i="3"/>
  <c r="M312" i="2"/>
  <c r="C311" i="2"/>
  <c r="C319" i="3" l="1"/>
  <c r="M320" i="3"/>
  <c r="M313" i="2"/>
  <c r="C312" i="2"/>
  <c r="C320" i="3" l="1"/>
  <c r="M321" i="3"/>
  <c r="M314" i="2"/>
  <c r="C313" i="2"/>
  <c r="C321" i="3" l="1"/>
  <c r="M322" i="3"/>
  <c r="M315" i="2"/>
  <c r="C314" i="2"/>
  <c r="C322" i="3" l="1"/>
  <c r="M323" i="3"/>
  <c r="M316" i="2"/>
  <c r="C315" i="2"/>
  <c r="C323" i="3" l="1"/>
  <c r="M324" i="3"/>
  <c r="M317" i="2"/>
  <c r="C316" i="2"/>
  <c r="C324" i="3" l="1"/>
  <c r="M325" i="3"/>
  <c r="M318" i="2"/>
  <c r="C317" i="2"/>
  <c r="C325" i="3" l="1"/>
  <c r="M326" i="3"/>
  <c r="M319" i="2"/>
  <c r="C318" i="2"/>
  <c r="C326" i="3" l="1"/>
  <c r="M327" i="3"/>
  <c r="M320" i="2"/>
  <c r="C319" i="2"/>
  <c r="C327" i="3" l="1"/>
  <c r="M328" i="3"/>
  <c r="M321" i="2"/>
  <c r="C320" i="2"/>
  <c r="C328" i="3" l="1"/>
  <c r="M329" i="3"/>
  <c r="M322" i="2"/>
  <c r="C321" i="2"/>
  <c r="C329" i="3" l="1"/>
  <c r="M330" i="3"/>
  <c r="M323" i="2"/>
  <c r="C322" i="2"/>
  <c r="C330" i="3" l="1"/>
  <c r="M331" i="3"/>
  <c r="M324" i="2"/>
  <c r="C323" i="2"/>
  <c r="C331" i="3" l="1"/>
  <c r="M332" i="3"/>
  <c r="M325" i="2"/>
  <c r="C324" i="2"/>
  <c r="C332" i="3" l="1"/>
  <c r="M333" i="3"/>
  <c r="M326" i="2"/>
  <c r="C325" i="2"/>
  <c r="C333" i="3" l="1"/>
  <c r="M334" i="3"/>
  <c r="M327" i="2"/>
  <c r="C326" i="2"/>
  <c r="C334" i="3" l="1"/>
  <c r="M335" i="3"/>
  <c r="M328" i="2"/>
  <c r="C327" i="2"/>
  <c r="C335" i="3" l="1"/>
  <c r="M336" i="3"/>
  <c r="M329" i="2"/>
  <c r="C328" i="2"/>
  <c r="C336" i="3" l="1"/>
  <c r="M337" i="3"/>
  <c r="M330" i="2"/>
  <c r="C329" i="2"/>
  <c r="C337" i="3" l="1"/>
  <c r="M338" i="3"/>
  <c r="M331" i="2"/>
  <c r="C330" i="2"/>
  <c r="C338" i="3" l="1"/>
  <c r="M339" i="3"/>
  <c r="M332" i="2"/>
  <c r="C331" i="2"/>
  <c r="C339" i="3" l="1"/>
  <c r="M340" i="3"/>
  <c r="M333" i="2"/>
  <c r="C332" i="2"/>
  <c r="C340" i="3" l="1"/>
  <c r="M341" i="3"/>
  <c r="M334" i="2"/>
  <c r="C333" i="2"/>
  <c r="C341" i="3" l="1"/>
  <c r="M342" i="3"/>
  <c r="M335" i="2"/>
  <c r="C334" i="2"/>
  <c r="C342" i="3" l="1"/>
  <c r="M343" i="3"/>
  <c r="M336" i="2"/>
  <c r="C335" i="2"/>
  <c r="C343" i="3" l="1"/>
  <c r="M344" i="3"/>
  <c r="M337" i="2"/>
  <c r="C336" i="2"/>
  <c r="C344" i="3" l="1"/>
  <c r="M345" i="3"/>
  <c r="M338" i="2"/>
  <c r="C337" i="2"/>
  <c r="C345" i="3" l="1"/>
  <c r="M346" i="3"/>
  <c r="M339" i="2"/>
  <c r="C338" i="2"/>
  <c r="C346" i="3" l="1"/>
  <c r="M347" i="3"/>
  <c r="M340" i="2"/>
  <c r="C339" i="2"/>
  <c r="C347" i="3" l="1"/>
  <c r="M348" i="3"/>
  <c r="M341" i="2"/>
  <c r="C340" i="2"/>
  <c r="C348" i="3" l="1"/>
  <c r="M349" i="3"/>
  <c r="M342" i="2"/>
  <c r="C341" i="2"/>
  <c r="C349" i="3" l="1"/>
  <c r="M350" i="3"/>
  <c r="M343" i="2"/>
  <c r="C342" i="2"/>
  <c r="C350" i="3" l="1"/>
  <c r="M351" i="3"/>
  <c r="M344" i="2"/>
  <c r="C343" i="2"/>
  <c r="C351" i="3" l="1"/>
  <c r="M352" i="3"/>
  <c r="M345" i="2"/>
  <c r="C344" i="2"/>
  <c r="C352" i="3" l="1"/>
  <c r="M353" i="3"/>
  <c r="M346" i="2"/>
  <c r="C345" i="2"/>
  <c r="C353" i="3" l="1"/>
  <c r="M354" i="3"/>
  <c r="M347" i="2"/>
  <c r="C346" i="2"/>
  <c r="C354" i="3" l="1"/>
  <c r="M355" i="3"/>
  <c r="M348" i="2"/>
  <c r="C347" i="2"/>
  <c r="C355" i="3" l="1"/>
  <c r="M356" i="3"/>
  <c r="M349" i="2"/>
  <c r="C348" i="2"/>
  <c r="C356" i="3" l="1"/>
  <c r="M357" i="3"/>
  <c r="M350" i="2"/>
  <c r="C349" i="2"/>
  <c r="C357" i="3" l="1"/>
  <c r="M358" i="3"/>
  <c r="M351" i="2"/>
  <c r="C350" i="2"/>
  <c r="C358" i="3" l="1"/>
  <c r="M359" i="3"/>
  <c r="M352" i="2"/>
  <c r="C351" i="2"/>
  <c r="C359" i="3" l="1"/>
  <c r="M360" i="3"/>
  <c r="M353" i="2"/>
  <c r="C352" i="2"/>
  <c r="C360" i="3" l="1"/>
  <c r="M361" i="3"/>
  <c r="M354" i="2"/>
  <c r="C353" i="2"/>
  <c r="C361" i="3" l="1"/>
  <c r="M362" i="3"/>
  <c r="M355" i="2"/>
  <c r="C354" i="2"/>
  <c r="C362" i="3" l="1"/>
  <c r="M363" i="3"/>
  <c r="M356" i="2"/>
  <c r="C355" i="2"/>
  <c r="C363" i="3" l="1"/>
  <c r="M364" i="3"/>
  <c r="M357" i="2"/>
  <c r="C356" i="2"/>
  <c r="C364" i="3" l="1"/>
  <c r="M365" i="3"/>
  <c r="M358" i="2"/>
  <c r="C357" i="2"/>
  <c r="C365" i="3" l="1"/>
  <c r="M366" i="3"/>
  <c r="M359" i="2"/>
  <c r="C358" i="2"/>
  <c r="C366" i="3" l="1"/>
  <c r="M367" i="3"/>
  <c r="M360" i="2"/>
  <c r="C359" i="2"/>
  <c r="C367" i="3" l="1"/>
  <c r="M368" i="3"/>
  <c r="M361" i="2"/>
  <c r="C360" i="2"/>
  <c r="C368" i="3" l="1"/>
  <c r="M369" i="3"/>
  <c r="M362" i="2"/>
  <c r="C361" i="2"/>
  <c r="C369" i="3" l="1"/>
  <c r="M370" i="3"/>
  <c r="M363" i="2"/>
  <c r="C362" i="2"/>
  <c r="C370" i="3" l="1"/>
  <c r="M371" i="3"/>
  <c r="M364" i="2"/>
  <c r="C363" i="2"/>
  <c r="C371" i="3" l="1"/>
  <c r="M372" i="3"/>
  <c r="M365" i="2"/>
  <c r="C364" i="2"/>
  <c r="C372" i="3" l="1"/>
  <c r="M373" i="3"/>
  <c r="M366" i="2"/>
  <c r="C365" i="2"/>
  <c r="C373" i="3" l="1"/>
  <c r="M374" i="3"/>
  <c r="M367" i="2"/>
  <c r="C366" i="2"/>
  <c r="C374" i="3" l="1"/>
  <c r="M375" i="3"/>
  <c r="M368" i="2"/>
  <c r="C367" i="2"/>
  <c r="C375" i="3" l="1"/>
  <c r="M376" i="3"/>
  <c r="M369" i="2"/>
  <c r="C368" i="2"/>
  <c r="C376" i="3" l="1"/>
  <c r="M377" i="3"/>
  <c r="M370" i="2"/>
  <c r="C369" i="2"/>
  <c r="C377" i="3" l="1"/>
  <c r="M378" i="3"/>
  <c r="M371" i="2"/>
  <c r="C370" i="2"/>
  <c r="C378" i="3" l="1"/>
  <c r="M379" i="3"/>
  <c r="M372" i="2"/>
  <c r="C371" i="2"/>
  <c r="C379" i="3" l="1"/>
  <c r="M380" i="3"/>
  <c r="M373" i="2"/>
  <c r="C372" i="2"/>
  <c r="M381" i="3" l="1"/>
  <c r="C380" i="3"/>
  <c r="M374" i="2"/>
  <c r="C373" i="2"/>
  <c r="M382" i="3" l="1"/>
  <c r="C381" i="3"/>
  <c r="M375" i="2"/>
  <c r="C374" i="2"/>
  <c r="C382" i="3" l="1"/>
  <c r="M383" i="3"/>
  <c r="M376" i="2"/>
  <c r="C375" i="2"/>
  <c r="C383" i="3" l="1"/>
  <c r="M384" i="3"/>
  <c r="M377" i="2"/>
  <c r="C376" i="2"/>
  <c r="M385" i="3" l="1"/>
  <c r="C384" i="3"/>
  <c r="M378" i="2"/>
  <c r="C377" i="2"/>
  <c r="M386" i="3" l="1"/>
  <c r="C385" i="3"/>
  <c r="M379" i="2"/>
  <c r="C378" i="2"/>
  <c r="M387" i="3" l="1"/>
  <c r="C386" i="3"/>
  <c r="M380" i="2"/>
  <c r="C379" i="2"/>
  <c r="M388" i="3" l="1"/>
  <c r="C387" i="3"/>
  <c r="M381" i="2"/>
  <c r="C380" i="2"/>
  <c r="M389" i="3" l="1"/>
  <c r="C388" i="3"/>
  <c r="M382" i="2"/>
  <c r="C381" i="2"/>
  <c r="M390" i="3" l="1"/>
  <c r="C389" i="3"/>
  <c r="M383" i="2"/>
  <c r="C382" i="2"/>
  <c r="M391" i="3" l="1"/>
  <c r="C390" i="3"/>
  <c r="M384" i="2"/>
  <c r="C383" i="2"/>
  <c r="M392" i="3" l="1"/>
  <c r="C391" i="3"/>
  <c r="M385" i="2"/>
  <c r="C384" i="2"/>
  <c r="M393" i="3" l="1"/>
  <c r="C392" i="3"/>
  <c r="M386" i="2"/>
  <c r="C385" i="2"/>
  <c r="M394" i="3" l="1"/>
  <c r="C393" i="3"/>
  <c r="M387" i="2"/>
  <c r="C386" i="2"/>
  <c r="M395" i="3" l="1"/>
  <c r="C394" i="3"/>
  <c r="M388" i="2"/>
  <c r="C387" i="2"/>
  <c r="M396" i="3" l="1"/>
  <c r="C395" i="3"/>
  <c r="M389" i="2"/>
  <c r="C388" i="2"/>
  <c r="M397" i="3" l="1"/>
  <c r="C396" i="3"/>
  <c r="M390" i="2"/>
  <c r="C389" i="2"/>
  <c r="M398" i="3" l="1"/>
  <c r="C397" i="3"/>
  <c r="M391" i="2"/>
  <c r="C390" i="2"/>
  <c r="M399" i="3" l="1"/>
  <c r="C398" i="3"/>
  <c r="M392" i="2"/>
  <c r="C391" i="2"/>
  <c r="M400" i="3" l="1"/>
  <c r="C399" i="3"/>
  <c r="M393" i="2"/>
  <c r="C392" i="2"/>
  <c r="M401" i="3" l="1"/>
  <c r="C400" i="3"/>
  <c r="M394" i="2"/>
  <c r="C393" i="2"/>
  <c r="M402" i="3" l="1"/>
  <c r="C401" i="3"/>
  <c r="M395" i="2"/>
  <c r="C394" i="2"/>
  <c r="M403" i="3" l="1"/>
  <c r="C402" i="3"/>
  <c r="M396" i="2"/>
  <c r="C395" i="2"/>
  <c r="M404" i="3" l="1"/>
  <c r="C403" i="3"/>
  <c r="M397" i="2"/>
  <c r="C396" i="2"/>
  <c r="M405" i="3" l="1"/>
  <c r="C404" i="3"/>
  <c r="M398" i="2"/>
  <c r="C397" i="2"/>
  <c r="M406" i="3" l="1"/>
  <c r="C405" i="3"/>
  <c r="M399" i="2"/>
  <c r="C398" i="2"/>
  <c r="M407" i="3" l="1"/>
  <c r="C406" i="3"/>
  <c r="M400" i="2"/>
  <c r="C399" i="2"/>
  <c r="M408" i="3" l="1"/>
  <c r="C407" i="3"/>
  <c r="M401" i="2"/>
  <c r="C400" i="2"/>
  <c r="M409" i="3" l="1"/>
  <c r="C408" i="3"/>
  <c r="M402" i="2"/>
  <c r="C401" i="2"/>
  <c r="M410" i="3" l="1"/>
  <c r="C409" i="3"/>
  <c r="M403" i="2"/>
  <c r="C402" i="2"/>
  <c r="M411" i="3" l="1"/>
  <c r="C410" i="3"/>
  <c r="M404" i="2"/>
  <c r="C403" i="2"/>
  <c r="M412" i="3" l="1"/>
  <c r="C411" i="3"/>
  <c r="M405" i="2"/>
  <c r="C404" i="2"/>
  <c r="M413" i="3" l="1"/>
  <c r="C412" i="3"/>
  <c r="M406" i="2"/>
  <c r="C405" i="2"/>
  <c r="M414" i="3" l="1"/>
  <c r="C413" i="3"/>
  <c r="M407" i="2"/>
  <c r="C406" i="2"/>
  <c r="M415" i="3" l="1"/>
  <c r="C414" i="3"/>
  <c r="M408" i="2"/>
  <c r="C407" i="2"/>
  <c r="M416" i="3" l="1"/>
  <c r="C415" i="3"/>
  <c r="M409" i="2"/>
  <c r="C408" i="2"/>
  <c r="M417" i="3" l="1"/>
  <c r="C416" i="3"/>
  <c r="C409" i="2"/>
  <c r="M410" i="2"/>
  <c r="M418" i="3" l="1"/>
  <c r="C417" i="3"/>
  <c r="M411" i="2"/>
  <c r="C410" i="2"/>
  <c r="M419" i="3" l="1"/>
  <c r="C418" i="3"/>
  <c r="M412" i="2"/>
  <c r="C411" i="2"/>
  <c r="M420" i="3" l="1"/>
  <c r="C419" i="3"/>
  <c r="M413" i="2"/>
  <c r="C412" i="2"/>
  <c r="C420" i="3" l="1"/>
  <c r="M421" i="3"/>
  <c r="M414" i="2"/>
  <c r="C413" i="2"/>
  <c r="C421" i="3" l="1"/>
  <c r="M422" i="3"/>
  <c r="M415" i="2"/>
  <c r="C414" i="2"/>
  <c r="M423" i="3" l="1"/>
  <c r="C422" i="3"/>
  <c r="M416" i="2"/>
  <c r="C415" i="2"/>
  <c r="M424" i="3" l="1"/>
  <c r="C423" i="3"/>
  <c r="M417" i="2"/>
  <c r="C416" i="2"/>
  <c r="M425" i="3" l="1"/>
  <c r="C424" i="3"/>
  <c r="C417" i="2"/>
  <c r="M418" i="2"/>
  <c r="C425" i="3" l="1"/>
  <c r="M426" i="3"/>
  <c r="M419" i="2"/>
  <c r="C418" i="2"/>
  <c r="M427" i="3" l="1"/>
  <c r="C426" i="3"/>
  <c r="M420" i="2"/>
  <c r="C419" i="2"/>
  <c r="M428" i="3" l="1"/>
  <c r="C427" i="3"/>
  <c r="M421" i="2"/>
  <c r="C420" i="2"/>
  <c r="C428" i="3" l="1"/>
  <c r="M429" i="3"/>
  <c r="M422" i="2"/>
  <c r="C421" i="2"/>
  <c r="M430" i="3" l="1"/>
  <c r="C429" i="3"/>
  <c r="M423" i="2"/>
  <c r="C422" i="2"/>
  <c r="C430" i="3" l="1"/>
  <c r="M431" i="3"/>
  <c r="M424" i="2"/>
  <c r="C423" i="2"/>
  <c r="C431" i="3" l="1"/>
  <c r="M432" i="3"/>
  <c r="M425" i="2"/>
  <c r="C424" i="2"/>
  <c r="C432" i="3" l="1"/>
  <c r="M433" i="3"/>
  <c r="M426" i="2"/>
  <c r="C425" i="2"/>
  <c r="C433" i="3" l="1"/>
  <c r="M434" i="3"/>
  <c r="M427" i="2"/>
  <c r="C426" i="2"/>
  <c r="C434" i="3" l="1"/>
  <c r="M435" i="3"/>
  <c r="M428" i="2"/>
  <c r="C427" i="2"/>
  <c r="C435" i="3" l="1"/>
  <c r="M436" i="3"/>
  <c r="M429" i="2"/>
  <c r="C428" i="2"/>
  <c r="C436" i="3" l="1"/>
  <c r="M437" i="3"/>
  <c r="M430" i="2"/>
  <c r="C429" i="2"/>
  <c r="C437" i="3" l="1"/>
  <c r="M438" i="3"/>
  <c r="M431" i="2"/>
  <c r="C430" i="2"/>
  <c r="C438" i="3" l="1"/>
  <c r="M439" i="3"/>
  <c r="M432" i="2"/>
  <c r="C431" i="2"/>
  <c r="C439" i="3" l="1"/>
  <c r="M440" i="3"/>
  <c r="M433" i="2"/>
  <c r="C432" i="2"/>
  <c r="C440" i="3" l="1"/>
  <c r="M441" i="3"/>
  <c r="M434" i="2"/>
  <c r="C433" i="2"/>
  <c r="C441" i="3" l="1"/>
  <c r="M442" i="3"/>
  <c r="M435" i="2"/>
  <c r="C434" i="2"/>
  <c r="C442" i="3" l="1"/>
  <c r="M443" i="3"/>
  <c r="M436" i="2"/>
  <c r="C435" i="2"/>
  <c r="C443" i="3" l="1"/>
  <c r="M444" i="3"/>
  <c r="M437" i="2"/>
  <c r="C436" i="2"/>
  <c r="C444" i="3" l="1"/>
  <c r="M445" i="3"/>
  <c r="M438" i="2"/>
  <c r="C437" i="2"/>
  <c r="C445" i="3" l="1"/>
  <c r="M446" i="3"/>
  <c r="M439" i="2"/>
  <c r="C438" i="2"/>
  <c r="C446" i="3" l="1"/>
  <c r="M447" i="3"/>
  <c r="M440" i="2"/>
  <c r="C439" i="2"/>
  <c r="C447" i="3" l="1"/>
  <c r="M448" i="3"/>
  <c r="M441" i="2"/>
  <c r="C440" i="2"/>
  <c r="C448" i="3" l="1"/>
  <c r="M449" i="3"/>
  <c r="M442" i="2"/>
  <c r="C441" i="2"/>
  <c r="C449" i="3" l="1"/>
  <c r="M450" i="3"/>
  <c r="M443" i="2"/>
  <c r="C442" i="2"/>
  <c r="C450" i="3" l="1"/>
  <c r="M451" i="3"/>
  <c r="M444" i="2"/>
  <c r="C443" i="2"/>
  <c r="C451" i="3" l="1"/>
  <c r="M452" i="3"/>
  <c r="M445" i="2"/>
  <c r="C444" i="2"/>
  <c r="C452" i="3" l="1"/>
  <c r="M453" i="3"/>
  <c r="C445" i="2"/>
  <c r="M446" i="2"/>
  <c r="C453" i="3" l="1"/>
  <c r="M454" i="3"/>
  <c r="M447" i="2"/>
  <c r="C446" i="2"/>
  <c r="C454" i="3" l="1"/>
  <c r="M455" i="3"/>
  <c r="M448" i="2"/>
  <c r="C447" i="2"/>
  <c r="C455" i="3" l="1"/>
  <c r="M456" i="3"/>
  <c r="M449" i="2"/>
  <c r="C448" i="2"/>
  <c r="C456" i="3" l="1"/>
  <c r="M457" i="3"/>
  <c r="M450" i="2"/>
  <c r="C449" i="2"/>
  <c r="C457" i="3" l="1"/>
  <c r="M458" i="3"/>
  <c r="M451" i="2"/>
  <c r="C450" i="2"/>
  <c r="C458" i="3" l="1"/>
  <c r="M459" i="3"/>
  <c r="M452" i="2"/>
  <c r="C451" i="2"/>
  <c r="C459" i="3" l="1"/>
  <c r="M460" i="3"/>
  <c r="M453" i="2"/>
  <c r="C452" i="2"/>
  <c r="C460" i="3" l="1"/>
  <c r="M461" i="3"/>
  <c r="M454" i="2"/>
  <c r="C453" i="2"/>
  <c r="C461" i="3" l="1"/>
  <c r="M462" i="3"/>
  <c r="M455" i="2"/>
  <c r="C454" i="2"/>
  <c r="C462" i="3" l="1"/>
  <c r="M463" i="3"/>
  <c r="M456" i="2"/>
  <c r="C455" i="2"/>
  <c r="C463" i="3" l="1"/>
  <c r="M464" i="3"/>
  <c r="M457" i="2"/>
  <c r="C456" i="2"/>
  <c r="C464" i="3" l="1"/>
  <c r="M465" i="3"/>
  <c r="M458" i="2"/>
  <c r="C457" i="2"/>
  <c r="C465" i="3" l="1"/>
  <c r="M466" i="3"/>
  <c r="M459" i="2"/>
  <c r="C458" i="2"/>
  <c r="C466" i="3" l="1"/>
  <c r="M467" i="3"/>
  <c r="M460" i="2"/>
  <c r="C459" i="2"/>
  <c r="C467" i="3" l="1"/>
  <c r="M468" i="3"/>
  <c r="M461" i="2"/>
  <c r="C460" i="2"/>
  <c r="C468" i="3" l="1"/>
  <c r="M469" i="3"/>
  <c r="M462" i="2"/>
  <c r="C461" i="2"/>
  <c r="C469" i="3" l="1"/>
  <c r="M470" i="3"/>
  <c r="M463" i="2"/>
  <c r="C462" i="2"/>
  <c r="C470" i="3" l="1"/>
  <c r="M471" i="3"/>
  <c r="M464" i="2"/>
  <c r="C463" i="2"/>
  <c r="C471" i="3" l="1"/>
  <c r="M472" i="3"/>
  <c r="M465" i="2"/>
  <c r="C464" i="2"/>
  <c r="C472" i="3" l="1"/>
  <c r="M473" i="3"/>
  <c r="M466" i="2"/>
  <c r="C465" i="2"/>
  <c r="C473" i="3" l="1"/>
  <c r="M474" i="3"/>
  <c r="M467" i="2"/>
  <c r="C466" i="2"/>
  <c r="C474" i="3" l="1"/>
  <c r="M475" i="3"/>
  <c r="M468" i="2"/>
  <c r="C467" i="2"/>
  <c r="C475" i="3" l="1"/>
  <c r="M476" i="3"/>
  <c r="M469" i="2"/>
  <c r="C468" i="2"/>
  <c r="C476" i="3" l="1"/>
  <c r="M477" i="3"/>
  <c r="M470" i="2"/>
  <c r="C469" i="2"/>
  <c r="C477" i="3" l="1"/>
  <c r="M478" i="3"/>
  <c r="C470" i="2"/>
  <c r="M471" i="2"/>
  <c r="C478" i="3" l="1"/>
  <c r="M479" i="3"/>
  <c r="M472" i="2"/>
  <c r="C471" i="2"/>
  <c r="C479" i="3" l="1"/>
  <c r="M480" i="3"/>
  <c r="M473" i="2"/>
  <c r="C472" i="2"/>
  <c r="C480" i="3" l="1"/>
  <c r="M481" i="3"/>
  <c r="M474" i="2"/>
  <c r="C473" i="2"/>
  <c r="C481" i="3" l="1"/>
  <c r="M482" i="3"/>
  <c r="M475" i="2"/>
  <c r="C474" i="2"/>
  <c r="C482" i="3" l="1"/>
  <c r="M483" i="3"/>
  <c r="M476" i="2"/>
  <c r="C475" i="2"/>
  <c r="C483" i="3" l="1"/>
  <c r="M484" i="3"/>
  <c r="C476" i="2"/>
  <c r="M477" i="2"/>
  <c r="C484" i="3" l="1"/>
  <c r="M485" i="3"/>
  <c r="M478" i="2"/>
  <c r="C477" i="2"/>
  <c r="C485" i="3" l="1"/>
  <c r="M486" i="3"/>
  <c r="M479" i="2"/>
  <c r="C478" i="2"/>
  <c r="C486" i="3" l="1"/>
  <c r="M487" i="3"/>
  <c r="M480" i="2"/>
  <c r="C479" i="2"/>
  <c r="C487" i="3" l="1"/>
  <c r="M488" i="3"/>
  <c r="M481" i="2"/>
  <c r="C480" i="2"/>
  <c r="C488" i="3" l="1"/>
  <c r="M489" i="3"/>
  <c r="M482" i="2"/>
  <c r="C481" i="2"/>
  <c r="C489" i="3" l="1"/>
  <c r="M490" i="3"/>
  <c r="M483" i="2"/>
  <c r="C482" i="2"/>
  <c r="C490" i="3" l="1"/>
  <c r="M491" i="3"/>
  <c r="M484" i="2"/>
  <c r="C483" i="2"/>
  <c r="C491" i="3" l="1"/>
  <c r="M492" i="3"/>
  <c r="M485" i="2"/>
  <c r="C484" i="2"/>
  <c r="C492" i="3" l="1"/>
  <c r="M493" i="3"/>
  <c r="M486" i="2"/>
  <c r="C485" i="2"/>
  <c r="C493" i="3" l="1"/>
  <c r="M494" i="3"/>
  <c r="M487" i="2"/>
  <c r="C486" i="2"/>
  <c r="C494" i="3" l="1"/>
  <c r="M495" i="3"/>
  <c r="M488" i="2"/>
  <c r="C487" i="2"/>
  <c r="C495" i="3" l="1"/>
  <c r="M496" i="3"/>
  <c r="M489" i="2"/>
  <c r="C488" i="2"/>
  <c r="C496" i="3" l="1"/>
  <c r="M497" i="3"/>
  <c r="M490" i="2"/>
  <c r="C489" i="2"/>
  <c r="C497" i="3" l="1"/>
  <c r="M498" i="3"/>
  <c r="M491" i="2"/>
  <c r="C490" i="2"/>
  <c r="C498" i="3" l="1"/>
  <c r="M499" i="3"/>
  <c r="M492" i="2"/>
  <c r="C491" i="2"/>
  <c r="C499" i="3" l="1"/>
  <c r="M500" i="3"/>
  <c r="M493" i="2"/>
  <c r="C492" i="2"/>
  <c r="C500" i="3" l="1"/>
  <c r="M501" i="3"/>
  <c r="M494" i="2"/>
  <c r="C493" i="2"/>
  <c r="C501" i="3" l="1"/>
  <c r="M502" i="3"/>
  <c r="M495" i="2"/>
  <c r="C494" i="2"/>
  <c r="C502" i="3" l="1"/>
  <c r="M503" i="3"/>
  <c r="M496" i="2"/>
  <c r="C495" i="2"/>
  <c r="C503" i="3" l="1"/>
  <c r="M504" i="3"/>
  <c r="M497" i="2"/>
  <c r="C496" i="2"/>
  <c r="C504" i="3" l="1"/>
  <c r="M505" i="3"/>
  <c r="C505" i="3" s="1"/>
  <c r="M498" i="2"/>
  <c r="C497" i="2"/>
  <c r="M499" i="2" l="1"/>
  <c r="C498" i="2"/>
  <c r="M500" i="2" l="1"/>
  <c r="C499" i="2"/>
  <c r="M501" i="2" l="1"/>
  <c r="C500" i="2"/>
  <c r="M502" i="2" l="1"/>
  <c r="C501" i="2"/>
  <c r="M503" i="2" l="1"/>
  <c r="C502" i="2"/>
  <c r="M504" i="2" l="1"/>
  <c r="C503" i="2"/>
  <c r="M505" i="2" l="1"/>
  <c r="C505" i="2" s="1"/>
  <c r="C504" i="2"/>
</calcChain>
</file>

<file path=xl/sharedStrings.xml><?xml version="1.0" encoding="utf-8"?>
<sst xmlns="http://schemas.openxmlformats.org/spreadsheetml/2006/main" count="4856" uniqueCount="1438">
  <si>
    <t>Previous</t>
  </si>
  <si>
    <t>Hash</t>
  </si>
  <si>
    <t>Block</t>
  </si>
  <si>
    <t>Nonce</t>
  </si>
  <si>
    <t>Data</t>
  </si>
  <si>
    <t>000015783b764259d382017d91a36d206d0600e2cbb3567748f46a33fe9297cf</t>
  </si>
  <si>
    <t>000012fa9b916eb9078f8d98a7864e697ae83ed54f5146bd84452cdafd043c19</t>
  </si>
  <si>
    <t>ID</t>
  </si>
  <si>
    <t>address comprador</t>
  </si>
  <si>
    <t>address vendedor</t>
  </si>
  <si>
    <t>NSU</t>
  </si>
  <si>
    <t>Quantidade</t>
  </si>
  <si>
    <t>Unidade</t>
  </si>
  <si>
    <t>Preço</t>
  </si>
  <si>
    <t>Tax</t>
  </si>
  <si>
    <t>0x85185fe3A4e36079818Ba1d12705A9B689899658</t>
  </si>
  <si>
    <t>0xa60AdD2af71a4f50b3F94509E71a1e9DbDeA5dDa</t>
  </si>
  <si>
    <t>unidade</t>
  </si>
  <si>
    <t>0x85185fe3A4e36079818Ba1d12705A9B689899659</t>
  </si>
  <si>
    <t>0x85185fe3A4e36079818Ba1d12705A9B689899660</t>
  </si>
  <si>
    <t>0x85185fe3A4e36079818Ba1d12705A9B689899661</t>
  </si>
  <si>
    <t>0x85185fe3A4e36079818Ba1d12705A9B689899662</t>
  </si>
  <si>
    <t>0x85185fe3A4e36079818Ba1d12705A9B689899663</t>
  </si>
  <si>
    <t>0x85185fe3A4e36079818Ba1d12705A9B689899664</t>
  </si>
  <si>
    <t>0x85185fe3A4e36079818Ba1d12705A9B689899665</t>
  </si>
  <si>
    <t>0x85185fe3A4e36079818Ba1d12705A9B689899666</t>
  </si>
  <si>
    <t>0x85185fe3A4e36079818Ba1d12705A9B689899667</t>
  </si>
  <si>
    <t>0x85185fe3A4e36079818Ba1d12705A9B689899668</t>
  </si>
  <si>
    <t>0x85185fe3A4e36079818Ba1d12705A9B689899669</t>
  </si>
  <si>
    <t>0x85185fe3A4e36079818Ba1d12705A9B689899670</t>
  </si>
  <si>
    <t>0x85185fe3A4e36079818Ba1d12705A9B689899671</t>
  </si>
  <si>
    <t>0x85185fe3A4e36079818Ba1d12705A9B689899672</t>
  </si>
  <si>
    <t>0x85185fe3A4e36079818Ba1d12705A9B689899673</t>
  </si>
  <si>
    <t>0x85185fe3A4e36079818Ba1d12705A9B689899674</t>
  </si>
  <si>
    <t>0x85185fe3A4e36079818Ba1d12705A9B689899675</t>
  </si>
  <si>
    <t>0x85185fe3A4e36079818Ba1d12705A9B689899676</t>
  </si>
  <si>
    <t>0x85185fe3A4e36079818Ba1d12705A9B689899677</t>
  </si>
  <si>
    <t>0x85185fe3A4e36079818Ba1d12705A9B689899678</t>
  </si>
  <si>
    <t>0x85185fe3A4e36079818Ba1d12705A9B689899679</t>
  </si>
  <si>
    <t>0x85185fe3A4e36079818Ba1d12705A9B689899680</t>
  </si>
  <si>
    <t>0x85185fe3A4e36079818Ba1d12705A9B689899681</t>
  </si>
  <si>
    <t>0x85185fe3A4e36079818Ba1d12705A9B689899682</t>
  </si>
  <si>
    <t>0x85185fe3A4e36079818Ba1d12705A9B689899683</t>
  </si>
  <si>
    <t>0x85185fe3A4e36079818Ba1d12705A9B689899684</t>
  </si>
  <si>
    <t>0x85185fe3A4e36079818Ba1d12705A9B689899685</t>
  </si>
  <si>
    <t>0x85185fe3A4e36079818Ba1d12705A9B689899686</t>
  </si>
  <si>
    <t>0x85185fe3A4e36079818Ba1d12705A9B689899687</t>
  </si>
  <si>
    <t>0x85185fe3A4e36079818Ba1d12705A9B689899688</t>
  </si>
  <si>
    <t>0x85185fe3A4e36079818Ba1d12705A9B689899689</t>
  </si>
  <si>
    <t>0x85185fe3A4e36079818Ba1d12705A9B689899690</t>
  </si>
  <si>
    <t>0x85185fe3A4e36079818Ba1d12705A9B689899691</t>
  </si>
  <si>
    <t>0x85185fe3A4e36079818Ba1d12705A9B689899692</t>
  </si>
  <si>
    <t>0x85185fe3A4e36079818Ba1d12705A9B689899693</t>
  </si>
  <si>
    <t>0x85185fe3A4e36079818Ba1d12705A9B689899694</t>
  </si>
  <si>
    <t>0x85185fe3A4e36079818Ba1d12705A9B689899695</t>
  </si>
  <si>
    <t>0x85185fe3A4e36079818Ba1d12705A9B689899696</t>
  </si>
  <si>
    <t>0x85185fe3A4e36079818Ba1d12705A9B689899697</t>
  </si>
  <si>
    <t>0x85185fe3A4e36079818Ba1d12705A9B689899698</t>
  </si>
  <si>
    <t>0x85185fe3A4e36079818Ba1d12705A9B689899699</t>
  </si>
  <si>
    <t>0x85185fe3A4e36079818Ba1d12705A9B689899700</t>
  </si>
  <si>
    <t>0x85185fe3A4e36079818Ba1d12705A9B689899701</t>
  </si>
  <si>
    <t>0x85185fe3A4e36079818Ba1d12705A9B689899702</t>
  </si>
  <si>
    <t>0x85185fe3A4e36079818Ba1d12705A9B689899703</t>
  </si>
  <si>
    <t>0x85185fe3A4e36079818Ba1d12705A9B689899704</t>
  </si>
  <si>
    <t>Time</t>
  </si>
  <si>
    <t>0000000000000000000000000000000000000000000000000000000000000001</t>
  </si>
  <si>
    <t>Mining</t>
  </si>
  <si>
    <t>00004597aa20ac08794f2c2d5f650e5bb7856e8e8ef7a94f425a10c2c1485d58</t>
  </si>
  <si>
    <t>00f832ad13e64ba6b4b80a1dfdcdfa1e01990a4aaf2c6a0fef7abe2ae42ac891</t>
  </si>
  <si>
    <t>00fff97b800592d1a3d6d0052038567a0abd3fe9d3b3d95bbd37a8bdf2bb572d</t>
  </si>
  <si>
    <t>00332e0398153a94089e38c93d2ab575884b98f43adafa2b34a8af1bfefd9fa0</t>
  </si>
  <si>
    <t>0073f6924b46c7c14e0c753be1c609ba445398154f756cd90c097dce51e0495b</t>
  </si>
  <si>
    <t>00809b38c8f351ebb2aa1851ddd0743f90b2e82bbd225a36acfc086fc2b06e17</t>
  </si>
  <si>
    <t>000cf50e0e39fedf414933ca34208d09072ecef99c199f2e526bd56d51622422</t>
  </si>
  <si>
    <t>005d9f6ccd4193aff121f3310ce6f3040ea21b5d7608a1cdc2658f5b92b7a0dd</t>
  </si>
  <si>
    <t>00858d5c1f936ad7d59b72d6c5a8096a19943a8a7403688799b7e5549906476d</t>
  </si>
  <si>
    <t>0004dcdcee4673882aefc55fa4acc57a5189ff1dd0ed843cb7ef99dd1e92732b</t>
  </si>
  <si>
    <t>0042ea13129ea939f3dad3ffd1d062f1dcd49302eda18d2a2ca225b3d92e9ef8</t>
  </si>
  <si>
    <t>0072abced13c7b5872bb768d795a97b95a7768a1455ab310a7391ef537c1bf39</t>
  </si>
  <si>
    <t>00c3acd4099e1c2fc0c17092c00ae49eed2ca4b9cd070fb5f93352e6def5dadf</t>
  </si>
  <si>
    <t>001f98ec472a009199174215a0092bf875028d9f8e663bf540e706170a4cd4f6</t>
  </si>
  <si>
    <t>00ed489bccc125bf58d822e407183010192ca41b5f9f3d0270d1655745b3cbe1</t>
  </si>
  <si>
    <t>002d9791839b6d24f1e93411ed6e0e2ec741c7cdb6df188375b2c2eca2dbd922</t>
  </si>
  <si>
    <t>003592bc30244bc09c6b1b1cb4ccc899f7f1f179ff0128976d19d4225baf7546</t>
  </si>
  <si>
    <t>00f2c73428e31c4e53b36bb05c2ac028cae8bd15384400380a3779257c6c013e</t>
  </si>
  <si>
    <t>004b9a875091cf2099caa22dedeb4859e5aedfc7b3826e953df0e842009fdce8</t>
  </si>
  <si>
    <t>00ae85ffde6e976dbad1ae34eee1caf13c1aa5a8a55f8430140d4df5453259fa</t>
  </si>
  <si>
    <t>0017e8aed453aa14b26a95a44559f9fb1298f160d3070baa93b24ec3fec6a482</t>
  </si>
  <si>
    <t>00b5171573b72eabf5aa2307e4d425766efa3912ae16d0977d072f2fa1aab287</t>
  </si>
  <si>
    <t>00df939997d566ae7580599199ff3d436601defefed8f4dbd301cc3f52997e32</t>
  </si>
  <si>
    <t>0071e06cddb727b5a697f79c17324174573eb8439132fee5a933cc1796a96478</t>
  </si>
  <si>
    <t>0004045824025fcf96ff81fea97e49476708fd088b8793b0fff4780501fd4a35</t>
  </si>
  <si>
    <t>006a3eaa6aadfcd0c9f55f9a6a0026e884b20355b98d1009e2ac6ad70e4da07e</t>
  </si>
  <si>
    <t>0036fec788fa54cf591de2d6286d7465b6a3a183e8c689e8d0318e2d3b2731ab</t>
  </si>
  <si>
    <t>00babb09459fc1e1d993ed51dcb4e2759249535e6c40e1633b0fd20faf0f56a7</t>
  </si>
  <si>
    <t>001dd0339f90e421c80eda206159f62f720d01763d85c54d158e25248faafd0e</t>
  </si>
  <si>
    <t>005d00d91c763ee447cf2c4072fd3fef8796bd5806d52b7552e44981b0d7b9f2</t>
  </si>
  <si>
    <t>004691acebf7deadaf7178be6d890bb99cc3ebf036c056809f4894c0b97d46ce</t>
  </si>
  <si>
    <t>00754a9efb22583c58edc53e285479ec9aea504fabaaaa2dd876c44c312940d1</t>
  </si>
  <si>
    <t>005bfa3fc8d6d818c5f606bb1761ed10d634e68a5d0fc3cf3941b46a2657baf4</t>
  </si>
  <si>
    <t>00237bf4251c4d169b0c0a5644523cb7c689853354f99db49af94a793236c21d</t>
  </si>
  <si>
    <t>00d78b0d12feb9f5b4eb2d290f42a514bc65720e2dcdfef41c875a4a82de19d6</t>
  </si>
  <si>
    <t>002006f991a17aaacd4024a8b87e952bcf80a2e2efc3d61a80cdb9908fca2bcb</t>
  </si>
  <si>
    <t>00f8fe8e5777b70c3b3c4fa17bd1e149b7af83a860f7f3e606542ae6a11be8fc</t>
  </si>
  <si>
    <t>005e12fb3333dd2c5511e433174e3a202488112fe75c82579f6a56662ffd8f4a</t>
  </si>
  <si>
    <t>00a30ca331bd9f408e654cd7a0402c8f34311f63a16aa3adcf617d15029d678b</t>
  </si>
  <si>
    <t>0000e426b97875c53eae114948924e266e6097cbe6b2113519cda7e6fca208a5</t>
  </si>
  <si>
    <t>002bf2d4fa94815a5b42115af6d1cb69c0a59c4a5440c1611ee120bae6648f12</t>
  </si>
  <si>
    <t>00486dd80413bf5670057a1a0fb075f6a930120e54cf02499d1d443dfeb93239</t>
  </si>
  <si>
    <t>002b22b2185f8ce49c3c36f2c2355e21b878a51673cb56edecd73d7127a39dbc</t>
  </si>
  <si>
    <t>002b4f75dd38897544aa3198654157d394e6bbd4b9cee5e94e642adfb81f1ce7</t>
  </si>
  <si>
    <t>00ceaeeb1e5ecacd655e26d6d009b42f2619129fd4be703d824ae1230d8b8399</t>
  </si>
  <si>
    <t>00b5ac35b09727bae9a19c781bf9d72d5c04a176f75ff27e984af1b99e158b45</t>
  </si>
  <si>
    <t>001d9389e77ae5486746cb861fae5a31fc4b91ebb78426eab3ed222ddbf90ed2</t>
  </si>
  <si>
    <t>00368a4620c32cc4d703c728b4a739c0cfab42d9d97323373e314d5381f1c3df</t>
  </si>
  <si>
    <t>00c9fecaac21f1a8557cd007668034a14d654566eb7257c9587ff6dad175f191</t>
  </si>
  <si>
    <t>00fa5350f1e1db56df8522379a86b60a88a08bca0d07394336d5b27e273b6a30</t>
  </si>
  <si>
    <t>00005d42be0643a72eb55c59bc22811e7a0ecae4a0ee82caf20d53572c91835c</t>
  </si>
  <si>
    <t>009c780ee37d146bbfe75a93b70fdcf37a9afb05e2e2e6ee3c862b810ef1b6c0</t>
  </si>
  <si>
    <t>0090bfc49854c1d2a776f82610d3039c7b314d0b370d122bd7ed3f663a289268</t>
  </si>
  <si>
    <t>00b6fa54dc36bd1745917e5b1efd16b826b973785d159c71bd40a067daca167b</t>
  </si>
  <si>
    <t>0094ebba67c3b4e77292abd84fcf71e250255b57998d30d783f9b17fa34b3df1</t>
  </si>
  <si>
    <t>004f713824633b1d455b6782cd1f6d9bbaa516a7d3089b928ae6d686b0ea2224</t>
  </si>
  <si>
    <t>0061e8bd911acb4ab00be60fdd24de644b9803067ec45da1d2a761f8895bbde1</t>
  </si>
  <si>
    <t>0002fe097891d87648fbd1030ad836bb16da2af1a4be95b3f685d3d7077a02dd</t>
  </si>
  <si>
    <t>00c4313df1f1d16aef528fc8ad30f522fcd2689424bfa7f74dcc1c962d25aa24</t>
  </si>
  <si>
    <t>0039cf7c793841eb3e596ede53e67cb201ac6d5f1d86a77b64ae450ecb7f6faf</t>
  </si>
  <si>
    <t>00a4293d3cb39891788d50f29668a2fe3c9c3ffe9a6c4ef997939d1e772b6b2f</t>
  </si>
  <si>
    <t>0099d7e6470f5d1f0233916605a365362b72f3eee2da517a3927ba546da15bb9</t>
  </si>
  <si>
    <t>00c581440ae156bf2076af8f8f5aade2413936c460c46af3983b5e1b93da1ced</t>
  </si>
  <si>
    <t>00b3bba4796c2aee24f47d497f3453397cc339c118504ff39cec7f5ffd26c774</t>
  </si>
  <si>
    <t>00370cc55c330b4109ebfe10e21fd289e76d41770a304469f768b6f0ae5e2997</t>
  </si>
  <si>
    <t>00aca55f757de104f1afe9c138efcf1cc900e6dad8429abcd37f51268d672a6a</t>
  </si>
  <si>
    <t>0058ee16cca5027bab3880677c4611b167c3fba64c443cecc8f441aac7148e55</t>
  </si>
  <si>
    <t>00ffe4abc2f2c1aed1f14e90cd04b689529b7399afb7d8c533cecb1435e33e2b</t>
  </si>
  <si>
    <t>00aeeaee689c79431af2677742263c80b653bc8a0253ca1da086c0dfc36c2537</t>
  </si>
  <si>
    <t>00f02d451334a8d212a526c2b1690b8c0b39ffd74d781fa3a6eb67f5fd261739</t>
  </si>
  <si>
    <t>00662651ac31983640ef64191dc341fa065941e8a788351507278db237fb1229</t>
  </si>
  <si>
    <t>005e05cf4ae729d1dc1c5bfd90b2c20dff8138767a093423127e53d34f2b0915</t>
  </si>
  <si>
    <t>00ab920bbbe41502394f7023d8361863a126352108eba8f46aef2968ce601da1</t>
  </si>
  <si>
    <t>002488072de153074fc6aa302fa99649d73ea99e1b113ce6df8d00577234fca7</t>
  </si>
  <si>
    <t>009536841fe7b4a78d3420ed69a72afab8daff387ee9d8b641835edf4fcba0ae</t>
  </si>
  <si>
    <t>0041c3b5bb9c0eab95d45e5da13c806f1a2ad9125a7b5e0a948acf64ef4fc674</t>
  </si>
  <si>
    <t>00b9bb977c51c22cd21536b66184f34111b762ce9cd6ac3e3d33c9743cc9a4c7</t>
  </si>
  <si>
    <t>0052f80ae7d7d4a6f69396d55618e9ce30e81ab12c453e8e1d8eb25665e17e83</t>
  </si>
  <si>
    <t>00af95cd1ee4ec54ce2f4a79629c2c6c8396fcff00ab67365edf1022bd8cf7a5</t>
  </si>
  <si>
    <t>0066e49369177221d43fa595ebad163e829254d1f5c363461a2a84a1c46bc0df</t>
  </si>
  <si>
    <t>004f18af3dbfc8ec7fe9cc7b9077071a56c457788e86da2961d5441632c47b18</t>
  </si>
  <si>
    <t>00261cce50416ed907d43cd2bef0ef810f901748df0d72f01ae44f1ed4ff34fb</t>
  </si>
  <si>
    <t>006b534fde63c8138b5c90195bad5a4d70bdde3b2aa362be4735d2f80bece759</t>
  </si>
  <si>
    <t>0025548b567dec4e08f3ece73fc53a11804e2bcf253b747f135fafc86902a7d5</t>
  </si>
  <si>
    <t>009dcb0e9818177b7d568faf44a7b14c703f21b5e89edb31abaff4727084d6d5</t>
  </si>
  <si>
    <t>00a693e5423a534f575224c77f94a176dfd25e3a5e43a26f4ce6334901d7e588</t>
  </si>
  <si>
    <t>0029f6c72085d0bd472046797cf90b7f5131c5eea2e013f2a349f34263e6cdd6</t>
  </si>
  <si>
    <t>001b815474e5ea742216e97f5f15db639bfd224af90ffa7d91634cdfefb53c3a</t>
  </si>
  <si>
    <t>008d5a3f5ceafeb9c360c7c9bd2cbf3506aa495f671befdb18132dcd753caffd</t>
  </si>
  <si>
    <t>00bb305304d9af61ae6f24e8e19a6bb0abe867e4d16b2b73087897c0ddba4f04</t>
  </si>
  <si>
    <t>00ae12a88b7702acc6c134991311c5649f2d9e18907886ad1e29d120c270590b</t>
  </si>
  <si>
    <t>0075b5c50634e2086069c30fd616b6ba762196a39db1cf4f622ab17c2e2d7bdb</t>
  </si>
  <si>
    <t>009fd0083b57db877a703be4d2562d4b98c3b6b145fd9f7b077628301e241259</t>
  </si>
  <si>
    <t>00ebb31938bf0aea25c8f86e0372cbb375a8819ddb3606f5a8e7ed4a84b45a58</t>
  </si>
  <si>
    <t>0028e35052ffc6a98003d1c8986cdc12bdf242bb925e24c7066d5091082191e2</t>
  </si>
  <si>
    <t>00d583915c7958357876772051ec731e3b4c42b6a01a847bdbf3f4c26c1f6080</t>
  </si>
  <si>
    <t>00490c7471d887f921a39f92127399865d71caf98df93db23cc6c26a9ddd2e1f</t>
  </si>
  <si>
    <t>00509c5baf5c2b0c783e20e54ed74cd72176b69cd69f1a38c7d25657e1aa46e2</t>
  </si>
  <si>
    <t>001dbc89bc737ee7bcea6a5856b9d948de77ebc1a9046f243c55d3da5764e4a0</t>
  </si>
  <si>
    <t>00c6026624e0472850c57db4271b2cbee793dcc335faa626588f7a42c1352d08</t>
  </si>
  <si>
    <t>0004957747ab0fb553a9c57f9d36de7f45f2a8c608398b89e01af96f01055672</t>
  </si>
  <si>
    <t>00c6026624e0472850c57db4271b2cbee793dcc335faa626588f7a42c1352d09</t>
  </si>
  <si>
    <t>00c6026624e0472850c57db4271b2cbee793dcc335faa626588f7a42c1352d10</t>
  </si>
  <si>
    <t>00c6026624e0472850c57db4271b2cbee793dcc335faa626588f7a42c1352d11</t>
  </si>
  <si>
    <t>00c6026624e0472850c57db4271b2cbee793dcc335faa626588f7a42c1352d12</t>
  </si>
  <si>
    <t>00c6026624e0472850c57db4271b2cbee793dcc335faa626588f7a42c1352d13</t>
  </si>
  <si>
    <t>00c6026624e0472850c57db4271b2cbee793dcc335faa626588f7a42c1352d14</t>
  </si>
  <si>
    <t>00c6026624e0472850c57db4271b2cbee793dcc335faa626588f7a42c1352d15</t>
  </si>
  <si>
    <t>00c6026624e0472850c57db4271b2cbee793dcc335faa626588f7a42c1352d16</t>
  </si>
  <si>
    <t>00c6026624e0472850c57db4271b2cbee793dcc335faa626588f7a42c1352d17</t>
  </si>
  <si>
    <t>00c6026624e0472850c57db4271b2cbee793dcc335faa626588f7a42c1352d18</t>
  </si>
  <si>
    <t>00c6026624e0472850c57db4271b2cbee793dcc335faa626588f7a42c1352d19</t>
  </si>
  <si>
    <t>00c6026624e0472850c57db4271b2cbee793dcc335faa626588f7a42c1352d20</t>
  </si>
  <si>
    <t>00c6026624e0472850c57db4271b2cbee793dcc335faa626588f7a42c1352d21</t>
  </si>
  <si>
    <t>00c6026624e0472850c57db4271b2cbee793dcc335faa626588f7a42c1352d22</t>
  </si>
  <si>
    <t>00c6026624e0472850c57db4271b2cbee793dcc335faa626588f7a42c1352d23</t>
  </si>
  <si>
    <t>00c6026624e0472850c57db4271b2cbee793dcc335faa626588f7a42c1352d24</t>
  </si>
  <si>
    <t>00c6026624e0472850c57db4271b2cbee793dcc335faa626588f7a42c1352d25</t>
  </si>
  <si>
    <t>00c6026624e0472850c57db4271b2cbee793dcc335faa626588f7a42c1352d26</t>
  </si>
  <si>
    <t>00c6026624e0472850c57db4271b2cbee793dcc335faa626588f7a42c1352d27</t>
  </si>
  <si>
    <t>00c6026624e0472850c57db4271b2cbee793dcc335faa626588f7a42c1352d28</t>
  </si>
  <si>
    <t>00c6026624e0472850c57db4271b2cbee793dcc335faa626588f7a42c1352d29</t>
  </si>
  <si>
    <t>00c6026624e0472850c57db4271b2cbee793dcc335faa626588f7a42c1352d30</t>
  </si>
  <si>
    <t>00c6026624e0472850c57db4271b2cbee793dcc335faa626588f7a42c1352d31</t>
  </si>
  <si>
    <t>00c6026624e0472850c57db4271b2cbee793dcc335faa626588f7a42c1352d32</t>
  </si>
  <si>
    <t>00c6026624e0472850c57db4271b2cbee793dcc335faa626588f7a42c1352d33</t>
  </si>
  <si>
    <t>00c6026624e0472850c57db4271b2cbee793dcc335faa626588f7a42c1352d34</t>
  </si>
  <si>
    <t>00c6026624e0472850c57db4271b2cbee793dcc335faa626588f7a42c1352d35</t>
  </si>
  <si>
    <t>00c6026624e0472850c57db4271b2cbee793dcc335faa626588f7a42c1352d36</t>
  </si>
  <si>
    <t>00c6026624e0472850c57db4271b2cbee793dcc335faa626588f7a42c1352d37</t>
  </si>
  <si>
    <t>00c6026624e0472850c57db4271b2cbee793dcc335faa626588f7a42c1352d38</t>
  </si>
  <si>
    <t>00c6026624e0472850c57db4271b2cbee793dcc335faa626588f7a42c1352d39</t>
  </si>
  <si>
    <t>00c6026624e0472850c57db4271b2cbee793dcc335faa626588f7a42c1352d40</t>
  </si>
  <si>
    <t>00c6026624e0472850c57db4271b2cbee793dcc335faa626588f7a42c1352d41</t>
  </si>
  <si>
    <t>00c6026624e0472850c57db4271b2cbee793dcc335faa626588f7a42c1352d42</t>
  </si>
  <si>
    <t>00c6026624e0472850c57db4271b2cbee793dcc335faa626588f7a42c1352d43</t>
  </si>
  <si>
    <t>00c6026624e0472850c57db4271b2cbee793dcc335faa626588f7a42c1352d44</t>
  </si>
  <si>
    <t>00c6026624e0472850c57db4271b2cbee793dcc335faa626588f7a42c1352d45</t>
  </si>
  <si>
    <t>00c6026624e0472850c57db4271b2cbee793dcc335faa626588f7a42c1352d46</t>
  </si>
  <si>
    <t>00c6026624e0472850c57db4271b2cbee793dcc335faa626588f7a42c1352d47</t>
  </si>
  <si>
    <t>00c6026624e0472850c57db4271b2cbee793dcc335faa626588f7a42c1352d48</t>
  </si>
  <si>
    <t>00c6026624e0472850c57db4271b2cbee793dcc335faa626588f7a42c1352d49</t>
  </si>
  <si>
    <t>00c6026624e0472850c57db4271b2cbee793dcc335faa626588f7a42c1352d50</t>
  </si>
  <si>
    <t>00c6026624e0472850c57db4271b2cbee793dcc335faa626588f7a42c1352d51</t>
  </si>
  <si>
    <t>00c6026624e0472850c57db4271b2cbee793dcc335faa626588f7a42c1352d52</t>
  </si>
  <si>
    <t>00c6026624e0472850c57db4271b2cbee793dcc335faa626588f7a42c1352d53</t>
  </si>
  <si>
    <t>00c6026624e0472850c57db4271b2cbee793dcc335faa626588f7a42c1352d54</t>
  </si>
  <si>
    <t>00c6026624e0472850c57db4271b2cbee793dcc335faa626588f7a42c1352d55</t>
  </si>
  <si>
    <t>00c6026624e0472850c57db4271b2cbee793dcc335faa626588f7a42c1352d56</t>
  </si>
  <si>
    <t>00c6026624e0472850c57db4271b2cbee793dcc335faa626588f7a42c1352d57</t>
  </si>
  <si>
    <t>00c6026624e0472850c57db4271b2cbee793dcc335faa626588f7a42c1352d58</t>
  </si>
  <si>
    <t>00c6026624e0472850c57db4271b2cbee793dcc335faa626588f7a42c1352d59</t>
  </si>
  <si>
    <t>00c6026624e0472850c57db4271b2cbee793dcc335faa626588f7a42c1352d60</t>
  </si>
  <si>
    <t>00c6026624e0472850c57db4271b2cbee793dcc335faa626588f7a42c1352d61</t>
  </si>
  <si>
    <t>00c6026624e0472850c57db4271b2cbee793dcc335faa626588f7a42c1352d62</t>
  </si>
  <si>
    <t>00c6026624e0472850c57db4271b2cbee793dcc335faa626588f7a42c1352d63</t>
  </si>
  <si>
    <t>00c6026624e0472850c57db4271b2cbee793dcc335faa626588f7a42c1352d64</t>
  </si>
  <si>
    <t>00c6026624e0472850c57db4271b2cbee793dcc335faa626588f7a42c1352d65</t>
  </si>
  <si>
    <t>00c6026624e0472850c57db4271b2cbee793dcc335faa626588f7a42c1352d66</t>
  </si>
  <si>
    <t>00c6026624e0472850c57db4271b2cbee793dcc335faa626588f7a42c1352d67</t>
  </si>
  <si>
    <t>00c6026624e0472850c57db4271b2cbee793dcc335faa626588f7a42c1352d68</t>
  </si>
  <si>
    <t>00c6026624e0472850c57db4271b2cbee793dcc335faa626588f7a42c1352d69</t>
  </si>
  <si>
    <t>00c6026624e0472850c57db4271b2cbee793dcc335faa626588f7a42c1352d70</t>
  </si>
  <si>
    <t>00c6026624e0472850c57db4271b2cbee793dcc335faa626588f7a42c1352d71</t>
  </si>
  <si>
    <t>00c6026624e0472850c57db4271b2cbee793dcc335faa626588f7a42c1352d72</t>
  </si>
  <si>
    <t>00c6026624e0472850c57db4271b2cbee793dcc335faa626588f7a42c1352d73</t>
  </si>
  <si>
    <t>00c6026624e0472850c57db4271b2cbee793dcc335faa626588f7a42c1352d74</t>
  </si>
  <si>
    <t>00c6026624e0472850c57db4271b2cbee793dcc335faa626588f7a42c1352d75</t>
  </si>
  <si>
    <t>00c6026624e0472850c57db4271b2cbee793dcc335faa626588f7a42c1352d76</t>
  </si>
  <si>
    <t>00c6026624e0472850c57db4271b2cbee793dcc335faa626588f7a42c1352d77</t>
  </si>
  <si>
    <t>00c6026624e0472850c57db4271b2cbee793dcc335faa626588f7a42c1352d78</t>
  </si>
  <si>
    <t>00c6026624e0472850c57db4271b2cbee793dcc335faa626588f7a42c1352d79</t>
  </si>
  <si>
    <t>00c6026624e0472850c57db4271b2cbee793dcc335faa626588f7a42c1352d80</t>
  </si>
  <si>
    <t>00c6026624e0472850c57db4271b2cbee793dcc335faa626588f7a42c1352d81</t>
  </si>
  <si>
    <t>00c6026624e0472850c57db4271b2cbee793dcc335faa626588f7a42c1352d82</t>
  </si>
  <si>
    <t>00c6026624e0472850c57db4271b2cbee793dcc335faa626588f7a42c1352d83</t>
  </si>
  <si>
    <t>00c6026624e0472850c57db4271b2cbee793dcc335faa626588f7a42c1352d84</t>
  </si>
  <si>
    <t>00c6026624e0472850c57db4271b2cbee793dcc335faa626588f7a42c1352d85</t>
  </si>
  <si>
    <t>00c6026624e0472850c57db4271b2cbee793dcc335faa626588f7a42c1352d86</t>
  </si>
  <si>
    <t>00c6026624e0472850c57db4271b2cbee793dcc335faa626588f7a42c1352d87</t>
  </si>
  <si>
    <t>00c6026624e0472850c57db4271b2cbee793dcc335faa626588f7a42c1352d88</t>
  </si>
  <si>
    <t>00c6026624e0472850c57db4271b2cbee793dcc335faa626588f7a42c1352d89</t>
  </si>
  <si>
    <t>00c6026624e0472850c57db4271b2cbee793dcc335faa626588f7a42c1352d90</t>
  </si>
  <si>
    <t>00c6026624e0472850c57db4271b2cbee793dcc335faa626588f7a42c1352d91</t>
  </si>
  <si>
    <t>00c6026624e0472850c57db4271b2cbee793dcc335faa626588f7a42c1352d92</t>
  </si>
  <si>
    <t>00c6026624e0472850c57db4271b2cbee793dcc335faa626588f7a42c1352d93</t>
  </si>
  <si>
    <t>00c6026624e0472850c57db4271b2cbee793dcc335faa626588f7a42c1352d94</t>
  </si>
  <si>
    <t>00c6026624e0472850c57db4271b2cbee793dcc335faa626588f7a42c1352d95</t>
  </si>
  <si>
    <t>00c6026624e0472850c57db4271b2cbee793dcc335faa626588f7a42c1352d96</t>
  </si>
  <si>
    <t>00c6026624e0472850c57db4271b2cbee793dcc335faa626588f7a42c1352d97</t>
  </si>
  <si>
    <t>00c6026624e0472850c57db4271b2cbee793dcc335faa626588f7a42c1352d98</t>
  </si>
  <si>
    <t>00c6026624e0472850c57db4271b2cbee793dcc335faa626588f7a42c1352d99</t>
  </si>
  <si>
    <t>00c6026624e0472850c57db4271b2cbee793dcc335faa626588f7a42c1352d100</t>
  </si>
  <si>
    <t>00c6026624e0472850c57db4271b2cbee793dcc335faa626588f7a42c1352d101</t>
  </si>
  <si>
    <t>00c6026624e0472850c57db4271b2cbee793dcc335faa626588f7a42c1352d102</t>
  </si>
  <si>
    <t>00c6026624e0472850c57db4271b2cbee793dcc335faa626588f7a42c1352d103</t>
  </si>
  <si>
    <t>00c6026624e0472850c57db4271b2cbee793dcc335faa626588f7a42c1352d104</t>
  </si>
  <si>
    <t>00c6026624e0472850c57db4271b2cbee793dcc335faa626588f7a42c1352d105</t>
  </si>
  <si>
    <t>00c6026624e0472850c57db4271b2cbee793dcc335faa626588f7a42c1352d106</t>
  </si>
  <si>
    <t>00c6026624e0472850c57db4271b2cbee793dcc335faa626588f7a42c1352d107</t>
  </si>
  <si>
    <t>00c6026624e0472850c57db4271b2cbee793dcc335faa626588f7a42c1352d108</t>
  </si>
  <si>
    <t>00c6026624e0472850c57db4271b2cbee793dcc335faa626588f7a42c1352d109</t>
  </si>
  <si>
    <t>00c6026624e0472850c57db4271b2cbee793dcc335faa626588f7a42c1352d110</t>
  </si>
  <si>
    <t>00c6026624e0472850c57db4271b2cbee793dcc335faa626588f7a42c1352d111</t>
  </si>
  <si>
    <t>00c6026624e0472850c57db4271b2cbee793dcc335faa626588f7a42c1352d112</t>
  </si>
  <si>
    <t>00c6026624e0472850c57db4271b2cbee793dcc335faa626588f7a42c1352d113</t>
  </si>
  <si>
    <t>00c6026624e0472850c57db4271b2cbee793dcc335faa626588f7a42c1352d114</t>
  </si>
  <si>
    <t>00c6026624e0472850c57db4271b2cbee793dcc335faa626588f7a42c1352d115</t>
  </si>
  <si>
    <t>00c6026624e0472850c57db4271b2cbee793dcc335faa626588f7a42c1352d116</t>
  </si>
  <si>
    <t>00c6026624e0472850c57db4271b2cbee793dcc335faa626588f7a42c1352d117</t>
  </si>
  <si>
    <t>00c6026624e0472850c57db4271b2cbee793dcc335faa626588f7a42c1352d118</t>
  </si>
  <si>
    <t>00c6026624e0472850c57db4271b2cbee793dcc335faa626588f7a42c1352d119</t>
  </si>
  <si>
    <t>00c6026624e0472850c57db4271b2cbee793dcc335faa626588f7a42c1352d120</t>
  </si>
  <si>
    <t>00c6026624e0472850c57db4271b2cbee793dcc335faa626588f7a42c1352d121</t>
  </si>
  <si>
    <t>00c6026624e0472850c57db4271b2cbee793dcc335faa626588f7a42c1352d122</t>
  </si>
  <si>
    <t>00c6026624e0472850c57db4271b2cbee793dcc335faa626588f7a42c1352d123</t>
  </si>
  <si>
    <t>00c6026624e0472850c57db4271b2cbee793dcc335faa626588f7a42c1352d124</t>
  </si>
  <si>
    <t>00c6026624e0472850c57db4271b2cbee793dcc335faa626588f7a42c1352d125</t>
  </si>
  <si>
    <t>00c6026624e0472850c57db4271b2cbee793dcc335faa626588f7a42c1352d126</t>
  </si>
  <si>
    <t>00c6026624e0472850c57db4271b2cbee793dcc335faa626588f7a42c1352d127</t>
  </si>
  <si>
    <t>00c6026624e0472850c57db4271b2cbee793dcc335faa626588f7a42c1352d128</t>
  </si>
  <si>
    <t>00c6026624e0472850c57db4271b2cbee793dcc335faa626588f7a42c1352d129</t>
  </si>
  <si>
    <t>00c6026624e0472850c57db4271b2cbee793dcc335faa626588f7a42c1352d130</t>
  </si>
  <si>
    <t>00c6026624e0472850c57db4271b2cbee793dcc335faa626588f7a42c1352d131</t>
  </si>
  <si>
    <t>00c6026624e0472850c57db4271b2cbee793dcc335faa626588f7a42c1352d132</t>
  </si>
  <si>
    <t>00c6026624e0472850c57db4271b2cbee793dcc335faa626588f7a42c1352d133</t>
  </si>
  <si>
    <t>00c6026624e0472850c57db4271b2cbee793dcc335faa626588f7a42c1352d134</t>
  </si>
  <si>
    <t>00c6026624e0472850c57db4271b2cbee793dcc335faa626588f7a42c1352d135</t>
  </si>
  <si>
    <t>00c6026624e0472850c57db4271b2cbee793dcc335faa626588f7a42c1352d136</t>
  </si>
  <si>
    <t>00c6026624e0472850c57db4271b2cbee793dcc335faa626588f7a42c1352d137</t>
  </si>
  <si>
    <t>00c6026624e0472850c57db4271b2cbee793dcc335faa626588f7a42c1352d138</t>
  </si>
  <si>
    <t>00c6026624e0472850c57db4271b2cbee793dcc335faa626588f7a42c1352d139</t>
  </si>
  <si>
    <t>00c6026624e0472850c57db4271b2cbee793dcc335faa626588f7a42c1352d140</t>
  </si>
  <si>
    <t>00c6026624e0472850c57db4271b2cbee793dcc335faa626588f7a42c1352d141</t>
  </si>
  <si>
    <t>00c6026624e0472850c57db4271b2cbee793dcc335faa626588f7a42c1352d142</t>
  </si>
  <si>
    <t>00c6026624e0472850c57db4271b2cbee793dcc335faa626588f7a42c1352d143</t>
  </si>
  <si>
    <t>00c6026624e0472850c57db4271b2cbee793dcc335faa626588f7a42c1352d144</t>
  </si>
  <si>
    <t>00c6026624e0472850c57db4271b2cbee793dcc335faa626588f7a42c1352d145</t>
  </si>
  <si>
    <t>00c6026624e0472850c57db4271b2cbee793dcc335faa626588f7a42c1352d146</t>
  </si>
  <si>
    <t>00c6026624e0472850c57db4271b2cbee793dcc335faa626588f7a42c1352d147</t>
  </si>
  <si>
    <t>00c6026624e0472850c57db4271b2cbee793dcc335faa626588f7a42c1352d148</t>
  </si>
  <si>
    <t>00c6026624e0472850c57db4271b2cbee793dcc335faa626588f7a42c1352d149</t>
  </si>
  <si>
    <t>00c6026624e0472850c57db4271b2cbee793dcc335faa626588f7a42c1352d150</t>
  </si>
  <si>
    <t>00c6026624e0472850c57db4271b2cbee793dcc335faa626588f7a42c1352d151</t>
  </si>
  <si>
    <t>00c6026624e0472850c57db4271b2cbee793dcc335faa626588f7a42c1352d152</t>
  </si>
  <si>
    <t>00c6026624e0472850c57db4271b2cbee793dcc335faa626588f7a42c1352d153</t>
  </si>
  <si>
    <t>00c6026624e0472850c57db4271b2cbee793dcc335faa626588f7a42c1352d154</t>
  </si>
  <si>
    <t>00c6026624e0472850c57db4271b2cbee793dcc335faa626588f7a42c1352d155</t>
  </si>
  <si>
    <t>00c6026624e0472850c57db4271b2cbee793dcc335faa626588f7a42c1352d156</t>
  </si>
  <si>
    <t>00c6026624e0472850c57db4271b2cbee793dcc335faa626588f7a42c1352d157</t>
  </si>
  <si>
    <t>00c6026624e0472850c57db4271b2cbee793dcc335faa626588f7a42c1352d158</t>
  </si>
  <si>
    <t>00c6026624e0472850c57db4271b2cbee793dcc335faa626588f7a42c1352d159</t>
  </si>
  <si>
    <t>00c6026624e0472850c57db4271b2cbee793dcc335faa626588f7a42c1352d160</t>
  </si>
  <si>
    <t>00c6026624e0472850c57db4271b2cbee793dcc335faa626588f7a42c1352d161</t>
  </si>
  <si>
    <t>00c6026624e0472850c57db4271b2cbee793dcc335faa626588f7a42c1352d162</t>
  </si>
  <si>
    <t>00c6026624e0472850c57db4271b2cbee793dcc335faa626588f7a42c1352d163</t>
  </si>
  <si>
    <t>00c6026624e0472850c57db4271b2cbee793dcc335faa626588f7a42c1352d164</t>
  </si>
  <si>
    <t>00c6026624e0472850c57db4271b2cbee793dcc335faa626588f7a42c1352d165</t>
  </si>
  <si>
    <t>00c6026624e0472850c57db4271b2cbee793dcc335faa626588f7a42c1352d166</t>
  </si>
  <si>
    <t>00c6026624e0472850c57db4271b2cbee793dcc335faa626588f7a42c1352d167</t>
  </si>
  <si>
    <t>00c6026624e0472850c57db4271b2cbee793dcc335faa626588f7a42c1352d168</t>
  </si>
  <si>
    <t>00c6026624e0472850c57db4271b2cbee793dcc335faa626588f7a42c1352d169</t>
  </si>
  <si>
    <t>00c6026624e0472850c57db4271b2cbee793dcc335faa626588f7a42c1352d170</t>
  </si>
  <si>
    <t>00c6026624e0472850c57db4271b2cbee793dcc335faa626588f7a42c1352d171</t>
  </si>
  <si>
    <t>00c6026624e0472850c57db4271b2cbee793dcc335faa626588f7a42c1352d172</t>
  </si>
  <si>
    <t>00c6026624e0472850c57db4271b2cbee793dcc335faa626588f7a42c1352d173</t>
  </si>
  <si>
    <t>00c6026624e0472850c57db4271b2cbee793dcc335faa626588f7a42c1352d174</t>
  </si>
  <si>
    <t>00c6026624e0472850c57db4271b2cbee793dcc335faa626588f7a42c1352d175</t>
  </si>
  <si>
    <t>00c6026624e0472850c57db4271b2cbee793dcc335faa626588f7a42c1352d176</t>
  </si>
  <si>
    <t>00c6026624e0472850c57db4271b2cbee793dcc335faa626588f7a42c1352d177</t>
  </si>
  <si>
    <t>00c6026624e0472850c57db4271b2cbee793dcc335faa626588f7a42c1352d178</t>
  </si>
  <si>
    <t>00c6026624e0472850c57db4271b2cbee793dcc335faa626588f7a42c1352d179</t>
  </si>
  <si>
    <t>00c6026624e0472850c57db4271b2cbee793dcc335faa626588f7a42c1352d180</t>
  </si>
  <si>
    <t>00c6026624e0472850c57db4271b2cbee793dcc335faa626588f7a42c1352d181</t>
  </si>
  <si>
    <t>00c6026624e0472850c57db4271b2cbee793dcc335faa626588f7a42c1352d182</t>
  </si>
  <si>
    <t>00c6026624e0472850c57db4271b2cbee793dcc335faa626588f7a42c1352d183</t>
  </si>
  <si>
    <t>00c6026624e0472850c57db4271b2cbee793dcc335faa626588f7a42c1352d184</t>
  </si>
  <si>
    <t>00c6026624e0472850c57db4271b2cbee793dcc335faa626588f7a42c1352d185</t>
  </si>
  <si>
    <t>00c6026624e0472850c57db4271b2cbee793dcc335faa626588f7a42c1352d186</t>
  </si>
  <si>
    <t>00c6026624e0472850c57db4271b2cbee793dcc335faa626588f7a42c1352d187</t>
  </si>
  <si>
    <t>00c6026624e0472850c57db4271b2cbee793dcc335faa626588f7a42c1352d188</t>
  </si>
  <si>
    <t>00c6026624e0472850c57db4271b2cbee793dcc335faa626588f7a42c1352d189</t>
  </si>
  <si>
    <t>00c6026624e0472850c57db4271b2cbee793dcc335faa626588f7a42c1352d190</t>
  </si>
  <si>
    <t>00c6026624e0472850c57db4271b2cbee793dcc335faa626588f7a42c1352d191</t>
  </si>
  <si>
    <t>00c6026624e0472850c57db4271b2cbee793dcc335faa626588f7a42c1352d192</t>
  </si>
  <si>
    <t>00c6026624e0472850c57db4271b2cbee793dcc335faa626588f7a42c1352d193</t>
  </si>
  <si>
    <t>00c6026624e0472850c57db4271b2cbee793dcc335faa626588f7a42c1352d194</t>
  </si>
  <si>
    <t>00c6026624e0472850c57db4271b2cbee793dcc335faa626588f7a42c1352d195</t>
  </si>
  <si>
    <t>00c6026624e0472850c57db4271b2cbee793dcc335faa626588f7a42c1352d196</t>
  </si>
  <si>
    <t>00c6026624e0472850c57db4271b2cbee793dcc335faa626588f7a42c1352d197</t>
  </si>
  <si>
    <t>00c6026624e0472850c57db4271b2cbee793dcc335faa626588f7a42c1352d198</t>
  </si>
  <si>
    <t>00c6026624e0472850c57db4271b2cbee793dcc335faa626588f7a42c1352d199</t>
  </si>
  <si>
    <t>00c6026624e0472850c57db4271b2cbee793dcc335faa626588f7a42c1352d200</t>
  </si>
  <si>
    <t>00c6026624e0472850c57db4271b2cbee793dcc335faa626588f7a42c1352d201</t>
  </si>
  <si>
    <t>00c6026624e0472850c57db4271b2cbee793dcc335faa626588f7a42c1352d202</t>
  </si>
  <si>
    <t>00c6026624e0472850c57db4271b2cbee793dcc335faa626588f7a42c1352d203</t>
  </si>
  <si>
    <t>00c6026624e0472850c57db4271b2cbee793dcc335faa626588f7a42c1352d204</t>
  </si>
  <si>
    <t>00c6026624e0472850c57db4271b2cbee793dcc335faa626588f7a42c1352d205</t>
  </si>
  <si>
    <t>00c6026624e0472850c57db4271b2cbee793dcc335faa626588f7a42c1352d206</t>
  </si>
  <si>
    <t>00c6026624e0472850c57db4271b2cbee793dcc335faa626588f7a42c1352d207</t>
  </si>
  <si>
    <t>00c6026624e0472850c57db4271b2cbee793dcc335faa626588f7a42c1352d208</t>
  </si>
  <si>
    <t>00c6026624e0472850c57db4271b2cbee793dcc335faa626588f7a42c1352d209</t>
  </si>
  <si>
    <t>00c6026624e0472850c57db4271b2cbee793dcc335faa626588f7a42c1352d210</t>
  </si>
  <si>
    <t>00c6026624e0472850c57db4271b2cbee793dcc335faa626588f7a42c1352d211</t>
  </si>
  <si>
    <t>00c6026624e0472850c57db4271b2cbee793dcc335faa626588f7a42c1352d212</t>
  </si>
  <si>
    <t>00c6026624e0472850c57db4271b2cbee793dcc335faa626588f7a42c1352d213</t>
  </si>
  <si>
    <t>00c6026624e0472850c57db4271b2cbee793dcc335faa626588f7a42c1352d214</t>
  </si>
  <si>
    <t>00c6026624e0472850c57db4271b2cbee793dcc335faa626588f7a42c1352d215</t>
  </si>
  <si>
    <t>00c6026624e0472850c57db4271b2cbee793dcc335faa626588f7a42c1352d216</t>
  </si>
  <si>
    <t>00c6026624e0472850c57db4271b2cbee793dcc335faa626588f7a42c1352d217</t>
  </si>
  <si>
    <t>00c6026624e0472850c57db4271b2cbee793dcc335faa626588f7a42c1352d218</t>
  </si>
  <si>
    <t>00c6026624e0472850c57db4271b2cbee793dcc335faa626588f7a42c1352d219</t>
  </si>
  <si>
    <t>00c6026624e0472850c57db4271b2cbee793dcc335faa626588f7a42c1352d220</t>
  </si>
  <si>
    <t>00c6026624e0472850c57db4271b2cbee793dcc335faa626588f7a42c1352d221</t>
  </si>
  <si>
    <t>00c6026624e0472850c57db4271b2cbee793dcc335faa626588f7a42c1352d222</t>
  </si>
  <si>
    <t>00c6026624e0472850c57db4271b2cbee793dcc335faa626588f7a42c1352d223</t>
  </si>
  <si>
    <t>00c6026624e0472850c57db4271b2cbee793dcc335faa626588f7a42c1352d224</t>
  </si>
  <si>
    <t>00c6026624e0472850c57db4271b2cbee793dcc335faa626588f7a42c1352d225</t>
  </si>
  <si>
    <t>00c6026624e0472850c57db4271b2cbee793dcc335faa626588f7a42c1352d226</t>
  </si>
  <si>
    <t>00c6026624e0472850c57db4271b2cbee793dcc335faa626588f7a42c1352d227</t>
  </si>
  <si>
    <t>00c6026624e0472850c57db4271b2cbee793dcc335faa626588f7a42c1352d228</t>
  </si>
  <si>
    <t>00c6026624e0472850c57db4271b2cbee793dcc335faa626588f7a42c1352d229</t>
  </si>
  <si>
    <t>00c6026624e0472850c57db4271b2cbee793dcc335faa626588f7a42c1352d230</t>
  </si>
  <si>
    <t>00c6026624e0472850c57db4271b2cbee793dcc335faa626588f7a42c1352d231</t>
  </si>
  <si>
    <t>00c6026624e0472850c57db4271b2cbee793dcc335faa626588f7a42c1352d232</t>
  </si>
  <si>
    <t>00c6026624e0472850c57db4271b2cbee793dcc335faa626588f7a42c1352d233</t>
  </si>
  <si>
    <t>00c6026624e0472850c57db4271b2cbee793dcc335faa626588f7a42c1352d234</t>
  </si>
  <si>
    <t>00c6026624e0472850c57db4271b2cbee793dcc335faa626588f7a42c1352d235</t>
  </si>
  <si>
    <t>00c6026624e0472850c57db4271b2cbee793dcc335faa626588f7a42c1352d236</t>
  </si>
  <si>
    <t>00c6026624e0472850c57db4271b2cbee793dcc335faa626588f7a42c1352d237</t>
  </si>
  <si>
    <t>00c6026624e0472850c57db4271b2cbee793dcc335faa626588f7a42c1352d238</t>
  </si>
  <si>
    <t>00c6026624e0472850c57db4271b2cbee793dcc335faa626588f7a42c1352d239</t>
  </si>
  <si>
    <t>00c6026624e0472850c57db4271b2cbee793dcc335faa626588f7a42c1352d240</t>
  </si>
  <si>
    <t>00c6026624e0472850c57db4271b2cbee793dcc335faa626588f7a42c1352d241</t>
  </si>
  <si>
    <t>00c6026624e0472850c57db4271b2cbee793dcc335faa626588f7a42c1352d242</t>
  </si>
  <si>
    <t>00c6026624e0472850c57db4271b2cbee793dcc335faa626588f7a42c1352d243</t>
  </si>
  <si>
    <t>00c6026624e0472850c57db4271b2cbee793dcc335faa626588f7a42c1352d244</t>
  </si>
  <si>
    <t>00c6026624e0472850c57db4271b2cbee793dcc335faa626588f7a42c1352d245</t>
  </si>
  <si>
    <t>00c6026624e0472850c57db4271b2cbee793dcc335faa626588f7a42c1352d246</t>
  </si>
  <si>
    <t>00c6026624e0472850c57db4271b2cbee793dcc335faa626588f7a42c1352d247</t>
  </si>
  <si>
    <t>00c6026624e0472850c57db4271b2cbee793dcc335faa626588f7a42c1352d248</t>
  </si>
  <si>
    <t>00c6026624e0472850c57db4271b2cbee793dcc335faa626588f7a42c1352d249</t>
  </si>
  <si>
    <t>00c6026624e0472850c57db4271b2cbee793dcc335faa626588f7a42c1352d250</t>
  </si>
  <si>
    <t>00c6026624e0472850c57db4271b2cbee793dcc335faa626588f7a42c1352d251</t>
  </si>
  <si>
    <t>00c6026624e0472850c57db4271b2cbee793dcc335faa626588f7a42c1352d252</t>
  </si>
  <si>
    <t>00c6026624e0472850c57db4271b2cbee793dcc335faa626588f7a42c1352d253</t>
  </si>
  <si>
    <t>00c6026624e0472850c57db4271b2cbee793dcc335faa626588f7a42c1352d254</t>
  </si>
  <si>
    <t>00c6026624e0472850c57db4271b2cbee793dcc335faa626588f7a42c1352d255</t>
  </si>
  <si>
    <t>00c6026624e0472850c57db4271b2cbee793dcc335faa626588f7a42c1352d256</t>
  </si>
  <si>
    <t>00c6026624e0472850c57db4271b2cbee793dcc335faa626588f7a42c1352d257</t>
  </si>
  <si>
    <t>00c6026624e0472850c57db4271b2cbee793dcc335faa626588f7a42c1352d258</t>
  </si>
  <si>
    <t>00c6026624e0472850c57db4271b2cbee793dcc335faa626588f7a42c1352d259</t>
  </si>
  <si>
    <t>00c6026624e0472850c57db4271b2cbee793dcc335faa626588f7a42c1352d260</t>
  </si>
  <si>
    <t>00c6026624e0472850c57db4271b2cbee793dcc335faa626588f7a42c1352d261</t>
  </si>
  <si>
    <t>00c6026624e0472850c57db4271b2cbee793dcc335faa626588f7a42c1352d262</t>
  </si>
  <si>
    <t>00c6026624e0472850c57db4271b2cbee793dcc335faa626588f7a42c1352d263</t>
  </si>
  <si>
    <t>00c6026624e0472850c57db4271b2cbee793dcc335faa626588f7a42c1352d264</t>
  </si>
  <si>
    <t>00c6026624e0472850c57db4271b2cbee793dcc335faa626588f7a42c1352d265</t>
  </si>
  <si>
    <t>00c6026624e0472850c57db4271b2cbee793dcc335faa626588f7a42c1352d266</t>
  </si>
  <si>
    <t>00c6026624e0472850c57db4271b2cbee793dcc335faa626588f7a42c1352d267</t>
  </si>
  <si>
    <t>00c6026624e0472850c57db4271b2cbee793dcc335faa626588f7a42c1352d268</t>
  </si>
  <si>
    <t>00c6026624e0472850c57db4271b2cbee793dcc335faa626588f7a42c1352d269</t>
  </si>
  <si>
    <t>00c6026624e0472850c57db4271b2cbee793dcc335faa626588f7a42c1352d270</t>
  </si>
  <si>
    <t>00c6026624e0472850c57db4271b2cbee793dcc335faa626588f7a42c1352d271</t>
  </si>
  <si>
    <t>00c6026624e0472850c57db4271b2cbee793dcc335faa626588f7a42c1352d272</t>
  </si>
  <si>
    <t>00c6026624e0472850c57db4271b2cbee793dcc335faa626588f7a42c1352d273</t>
  </si>
  <si>
    <t>00c6026624e0472850c57db4271b2cbee793dcc335faa626588f7a42c1352d274</t>
  </si>
  <si>
    <t>00c6026624e0472850c57db4271b2cbee793dcc335faa626588f7a42c1352d275</t>
  </si>
  <si>
    <t>00c6026624e0472850c57db4271b2cbee793dcc335faa626588f7a42c1352d276</t>
  </si>
  <si>
    <t>00c6026624e0472850c57db4271b2cbee793dcc335faa626588f7a42c1352d277</t>
  </si>
  <si>
    <t>00c6026624e0472850c57db4271b2cbee793dcc335faa626588f7a42c1352d278</t>
  </si>
  <si>
    <t>00c6026624e0472850c57db4271b2cbee793dcc335faa626588f7a42c1352d279</t>
  </si>
  <si>
    <t>00c6026624e0472850c57db4271b2cbee793dcc335faa626588f7a42c1352d280</t>
  </si>
  <si>
    <t>00c6026624e0472850c57db4271b2cbee793dcc335faa626588f7a42c1352d281</t>
  </si>
  <si>
    <t>00c6026624e0472850c57db4271b2cbee793dcc335faa626588f7a42c1352d282</t>
  </si>
  <si>
    <t>00c6026624e0472850c57db4271b2cbee793dcc335faa626588f7a42c1352d283</t>
  </si>
  <si>
    <t>00c6026624e0472850c57db4271b2cbee793dcc335faa626588f7a42c1352d284</t>
  </si>
  <si>
    <t>00c6026624e0472850c57db4271b2cbee793dcc335faa626588f7a42c1352d285</t>
  </si>
  <si>
    <t>00c6026624e0472850c57db4271b2cbee793dcc335faa626588f7a42c1352d286</t>
  </si>
  <si>
    <t>00c6026624e0472850c57db4271b2cbee793dcc335faa626588f7a42c1352d287</t>
  </si>
  <si>
    <t>00c6026624e0472850c57db4271b2cbee793dcc335faa626588f7a42c1352d288</t>
  </si>
  <si>
    <t>00c6026624e0472850c57db4271b2cbee793dcc335faa626588f7a42c1352d289</t>
  </si>
  <si>
    <t>00c6026624e0472850c57db4271b2cbee793dcc335faa626588f7a42c1352d290</t>
  </si>
  <si>
    <t>00c6026624e0472850c57db4271b2cbee793dcc335faa626588f7a42c1352d291</t>
  </si>
  <si>
    <t>00c6026624e0472850c57db4271b2cbee793dcc335faa626588f7a42c1352d292</t>
  </si>
  <si>
    <t>00c6026624e0472850c57db4271b2cbee793dcc335faa626588f7a42c1352d293</t>
  </si>
  <si>
    <t>00c6026624e0472850c57db4271b2cbee793dcc335faa626588f7a42c1352d294</t>
  </si>
  <si>
    <t>00c6026624e0472850c57db4271b2cbee793dcc335faa626588f7a42c1352d295</t>
  </si>
  <si>
    <t>00c6026624e0472850c57db4271b2cbee793dcc335faa626588f7a42c1352d296</t>
  </si>
  <si>
    <t>00c6026624e0472850c57db4271b2cbee793dcc335faa626588f7a42c1352d297</t>
  </si>
  <si>
    <t>00c6026624e0472850c57db4271b2cbee793dcc335faa626588f7a42c1352d298</t>
  </si>
  <si>
    <t>00c6026624e0472850c57db4271b2cbee793dcc335faa626588f7a42c1352d299</t>
  </si>
  <si>
    <t>00c6026624e0472850c57db4271b2cbee793dcc335faa626588f7a42c1352d300</t>
  </si>
  <si>
    <t>00c6026624e0472850c57db4271b2cbee793dcc335faa626588f7a42c1352d301</t>
  </si>
  <si>
    <t>00c6026624e0472850c57db4271b2cbee793dcc335faa626588f7a42c1352d302</t>
  </si>
  <si>
    <t>00c6026624e0472850c57db4271b2cbee793dcc335faa626588f7a42c1352d303</t>
  </si>
  <si>
    <t>00c6026624e0472850c57db4271b2cbee793dcc335faa626588f7a42c1352d304</t>
  </si>
  <si>
    <t>00c6026624e0472850c57db4271b2cbee793dcc335faa626588f7a42c1352d305</t>
  </si>
  <si>
    <t>00c6026624e0472850c57db4271b2cbee793dcc335faa626588f7a42c1352d306</t>
  </si>
  <si>
    <t>00c6026624e0472850c57db4271b2cbee793dcc335faa626588f7a42c1352d307</t>
  </si>
  <si>
    <t>00c6026624e0472850c57db4271b2cbee793dcc335faa626588f7a42c1352d308</t>
  </si>
  <si>
    <t>0008ef4a95accf33710c892bc3b68b8856a4dd7530b534cfd8c7e88f65fdb0ae</t>
  </si>
  <si>
    <t>000bd5f751364d6875ff9c6ea7c927a2fa32f3c361deb804c014aed0e70a2aa5</t>
  </si>
  <si>
    <t>0002d3e25bee2866d340085e3e48a8ec4678cfabb6fe804f6b1f8e565eb5770f</t>
  </si>
  <si>
    <t>000dc4a1635fbd7915c267680d214ec56a7f8e6c183e13634203a7df2c4f3611</t>
  </si>
  <si>
    <t>0006ce1e55e6b36469561e0b9569ac849b4279539ec00bc13101895b4e633169</t>
  </si>
  <si>
    <t>000e363fb6472a6057aeb4775aa3e433a661e05df0a0a809e10804d2bd9e7c97</t>
  </si>
  <si>
    <t>000bc47c3edd5ad9df19fa7f4d2dcb0e878a4353e0d34831d389cca0d3327ce3</t>
  </si>
  <si>
    <t>0006f7c220c6577ef4a13bf29e975de19ce60c6a5655c2848efb0a2df97a8fe5</t>
  </si>
  <si>
    <t>000f81544554935e69e1627617f76f70e2bea16621c0c3331f613d4875fc0a01</t>
  </si>
  <si>
    <t>000c36651b9cdc18f9b38a996e02f60e56ec42a0a8bd80efd52894c738fcd5ae</t>
  </si>
  <si>
    <t>00082d28bde0355ecae0d3903becad4cfd008e004035eab4eb08c883c11ad83b</t>
  </si>
  <si>
    <t>000d69da9b0bb15f0734eca896c24b17d96d07777bdd06873905429feb428f5a</t>
  </si>
  <si>
    <t>000e1438d334e39df81ac00e0ffa42894369663da15252b7c2edf4441d797df2</t>
  </si>
  <si>
    <t>000be8c55834199c6887f23ca33fda9514fb3285ad339adc5602cd112815f1bd</t>
  </si>
  <si>
    <t>0008431f34fe18afea89da67d2a802e55a6863393d378952934167164dda4a61</t>
  </si>
  <si>
    <t>000b928c54fa86ed5dc78ccdf8e38ca1abcb15984275c921cc411dc9d91ad380</t>
  </si>
  <si>
    <t>000e52032bb81581b9cee9abf78d164b1d5ece65c58a797c2eca3ab30459958f</t>
  </si>
  <si>
    <t>000118699fa62d298338541f21879822e3b83e70f60295ad9ceecd1d2756478c</t>
  </si>
  <si>
    <t>00058c5618ff0df490e6f339af593840c899f7bbf63403ca37cd7c90783627c8</t>
  </si>
  <si>
    <t>0003424b559969ca4f0c1fae680695d121f5efa78d11d4539347b7c542ffbccb</t>
  </si>
  <si>
    <t>000d90805f645149f2c78f0669d1eaa884c1b0198c9cff5e5cab1a0a7b4a25f2</t>
  </si>
  <si>
    <t>0005937a25a8a5dd3029a820f51f259743ad5819336c73849e76fc991a0ce093</t>
  </si>
  <si>
    <t>000d858e43ceacf5589ec2fbc57140e892e417c9528f691d74b11f8e376674a3</t>
  </si>
  <si>
    <t>000fb0cacff5b136fd97767b2bac785ec65af2614d59c5240f8b3cd0b2486710</t>
  </si>
  <si>
    <t>0002e0c5d46ad671b833e2ba690ed07b41b050ff4050a26b8dda047de60b5d96</t>
  </si>
  <si>
    <t>00060a06fe824476cadb2b6c851e08f8c4976b5d32041c5b15ee3da5b402c4da</t>
  </si>
  <si>
    <t>0000a46190e595ff96f35567af87fe8ae0f423bf81b1bb675e9195d2ca88381e</t>
  </si>
  <si>
    <t>000f713d0b6cd36cec0b637e7d8f13005efc31e3c8da235fa282fb36ec7b3aa0</t>
  </si>
  <si>
    <t>000c6762533ad88aa2d54e66b70826e1f22e3f060bf510d5e0b3999a660d7e57</t>
  </si>
  <si>
    <t>000b39f6a80ae77cef4567c686de22eac03acbb8c7c4c39dd801ecefb0752ef2</t>
  </si>
  <si>
    <t>0009b24738f14ef1c2f3b6982f19a71db0966d1f325adfc04c6c50c4cfd360a8</t>
  </si>
  <si>
    <t>0007d62980af81537b76e414202a10c66e7d34f832dc5a1bbd48a95f3a7f8d36</t>
  </si>
  <si>
    <t>0007a36df22a43fc94ed020925513432bd437cbaaa953ec0a784480f5f395d72</t>
  </si>
  <si>
    <t>0003eeb0163d7b4429d9ac31688cddd802737357b689e4186e5e7973106fcffa</t>
  </si>
  <si>
    <t>000f26bad788ff90b87778cb715c751d5bf32b8e552139520bd2b0b97ed55450</t>
  </si>
  <si>
    <t>000a76760aa03c8ed3587c82307840af15789aa0968fcbb40c22edbf4fc9f316</t>
  </si>
  <si>
    <t>0004e922fd21841cd7f3d576d52ca2dc57a2cdd5c9b815b38954a4a1f3be0a88</t>
  </si>
  <si>
    <t>000c3d3aa5a7c860a2b12a22d4414ad08f409e1ac03f7418bbe35bc0fc9c644b</t>
  </si>
  <si>
    <t>0008dfa4abdecae9732fbb73008ed3206e7381aefffeed1f4e08610739142c1d</t>
  </si>
  <si>
    <t>000b7b13bbb4c51aee70b414c20a4f4cc1cd8bf8a5e7b1db9d79a954a128dde2</t>
  </si>
  <si>
    <t>000bc12445c159a58b2d4f8c7f35cd992c0e71f9d646a62be93d3db30635b95b</t>
  </si>
  <si>
    <t>0004cafa536431f7f97e27fb5f5ccf6a2e96b0ee55ac7076738c624849ed2c1a</t>
  </si>
  <si>
    <t>000f0ca292585aea91fce4bbaab87c88197d0b01e933eb64a0377a6bc98c01a6</t>
  </si>
  <si>
    <t>000ff5a30b257ddb43937acca11e463a662a1139e4b2bede67ccf50ef8240eeb</t>
  </si>
  <si>
    <t>0008050970745bb3ed191a85357fe26cd5a22d3d53a237dc9f52b298bd95d929</t>
  </si>
  <si>
    <t>00005f78a295f7bf4f0cbe701a575da4cf0858a4d6e14b309e2154d5868c61c3</t>
  </si>
  <si>
    <t>0004fdca74b8e14842096d40fa351ae42fa7f87d85c2a944083b33353cabbcee</t>
  </si>
  <si>
    <t>000b1a378375afaad4acdec7fb9fcee717ec7b2b28594ac40eec031c10fe067c</t>
  </si>
  <si>
    <t>00022bfbb750760e86328979286792dcc160f47ff5bfb8e996cc3a63fb029618</t>
  </si>
  <si>
    <t>000d5f5670f8f0c30295c75b935c8ee9a2a58a4304802e639a796edd27f0db8f</t>
  </si>
  <si>
    <t>000de277f93fe3d2b92faea69acd062d3af2480a5a10ae417cdcb78919d2e130</t>
  </si>
  <si>
    <t>0001404084fbae9bf97696c6142c382c40a8dca0013c087fd4f0c686e62cb386</t>
  </si>
  <si>
    <t>0004e1e00492834aa010f7d995e5bb1208b6a9b8b49f23e4595c8c4f4aa5348d</t>
  </si>
  <si>
    <t>000ec21b172931d9a75deb458e1ef8cdeb3e4e1fd4c9b0cbdc70d1b66d259af0</t>
  </si>
  <si>
    <t>0001dee2b27d4819ce4c11d337b0954acd24ecc129e586df298f7b462a58e566</t>
  </si>
  <si>
    <t>000029898331f2ed16ae700548e2d4b6098c3329f726ce4c0073242ee4c30310</t>
  </si>
  <si>
    <t>000c366198bbfef301e3508d8571733ad86c266d683af8ef840766f855453c70</t>
  </si>
  <si>
    <t>000a96f64dd373048634bf71f3cfa2b57630684fb878350f7cbc506f50b0a8b6</t>
  </si>
  <si>
    <t>000fdf5288b8f9a9566bebaac580afa37538106643baa26b3c018672930bd4a5</t>
  </si>
  <si>
    <t>000a16e19646c21a60b26a9408202dc4bc4694466616e4e6fb3986d24dfe3145</t>
  </si>
  <si>
    <t>000c565c1db6bcdfa66be0513daa4b4c5435193c020f80cf5b6f7c0cf0c0f2e0</t>
  </si>
  <si>
    <t>000c2286bf4348dc5a6d8f1accd8b54e5f774e4cf40576500d7a99fdf63dac05</t>
  </si>
  <si>
    <t>0004a2cbc517d7e7cd01415764294ff572f1831cc50c67b16adc50d4f4f8b299</t>
  </si>
  <si>
    <t>000c1fcc6cff97dfeca824d276c67c3f1cc13fdcfb43c71b5efda5c34711a86d</t>
  </si>
  <si>
    <t>0008ce1bfc5c667b8dd292a87086be5db0b20b178455660c449873421940fb3d</t>
  </si>
  <si>
    <t>0009bb54dd2e61ce550036adedf7a5a6ab50688330c8789d07715627cc2bc28e</t>
  </si>
  <si>
    <t>000546fd804b9c6801b7df5e2808ef6fb46d9939cb2d86f34d7982da8d763689</t>
  </si>
  <si>
    <t>0000a1e41559d0378a47fd2244133d81c391776ff2df8d073c08738b0259acb4</t>
  </si>
  <si>
    <t>000f08add97023497ca82333abe92f23b6997880b3ff83958371711ec9345526</t>
  </si>
  <si>
    <t>000da0e0d28911ae80041d0436ca64b0a9230d4066d703aab83ea11eb4be64d3</t>
  </si>
  <si>
    <t>00038ef6ed7e8ad20dd1be87e6cf41b59c8a56ac139bb838203f2bb31540fb35</t>
  </si>
  <si>
    <t>000cacabe00700b1edb2488228659e90159acf6b104a743bc3d7c41275cabbe1</t>
  </si>
  <si>
    <t>000ba05ebbc68392ad72e2a8361db6aa646f16890eea672415bbac67135bb97c</t>
  </si>
  <si>
    <t>00096899d4d920068bf715502c5e4f74779dca0662d6e533f82cb75cdfbeae8c</t>
  </si>
  <si>
    <t>000530fe0fa311ffff5a46ba92714b66a7082db1e492b2491246dac1754d5ed7</t>
  </si>
  <si>
    <t>000acfdad7df5f8389923a34c8c612dec6ab4e428aa3f950783748a799c24b16</t>
  </si>
  <si>
    <t>0004a9204be9e0ed03a1d0bb6a5a90a64895ac4d5ae93bb075b70c984063fce9</t>
  </si>
  <si>
    <t>00045ea95a2807a42990b3d78056afc7f03e52fd65807938526b73438f54fba8</t>
  </si>
  <si>
    <t>0004a43f397a88e413a3e4ee3365037d42993a56a393bedeff87bf9c99f6cf54</t>
  </si>
  <si>
    <t>000c34678b8894cdc8345952acc50eeddff7f3c642dc0648f8c4f757f6daf7f9</t>
  </si>
  <si>
    <t>000a525157e55cdf5596211ecc64f78d55108be931705e58d86678c1bd89cbb4</t>
  </si>
  <si>
    <t>000182e11345303c531ced95f97b03cbd091d131c477c861581a14c85e7e48a2</t>
  </si>
  <si>
    <t>000415285025fc4226ca18ee5343981a8da08e670b5209c2376a71980885f9e6</t>
  </si>
  <si>
    <t>000049372827014e47e4289ecf9600db129bd2e9cd67c2c0ad2fd126d6c0aff0</t>
  </si>
  <si>
    <t>00086ef2684fca5b251c21cef422b84a7b681106f8c68b7a962a9ca09004fbcf</t>
  </si>
  <si>
    <t>0007560171c83d24cbebdfe843071ba8971357acd014f3474dc72121bd498063</t>
  </si>
  <si>
    <t>00081e3ae60c66bc562e9027f380204d0bbf293e3c419b3d773664e53449356c</t>
  </si>
  <si>
    <t>000412c8bb6937f24e1cd3372f4f524269f683cad97dc470948685c9e794e3e4</t>
  </si>
  <si>
    <t>000227c45913941b4425c57e702b148a4dbdbc1256407978a1dfbefefcca6ad7</t>
  </si>
  <si>
    <t>0000571494c02a842636d90c1e22c199f6d275318e7489286cb820993e38efed</t>
  </si>
  <si>
    <t>00036420a33ae5a5dcda6015ef4e0682835a4a8920e11c12d47874f3bec87387</t>
  </si>
  <si>
    <t>000512d6b4efa4183481e08ef38688110220b4ed2c5cab48f18c9d0798e418e1</t>
  </si>
  <si>
    <t>0001b29ee36c56a12cdbcb6f862784ddf3a2cb0b6b2e63446cabd3bc00d9e393</t>
  </si>
  <si>
    <t>00098b08874697dd5333f3aa4a1cdac4c4a4823e53003cd3cc4d446cb09f7e34</t>
  </si>
  <si>
    <t>000464ebbd05b408e8b0be126c0bfcd1098190f837988d0116d46ac56b35c9a0</t>
  </si>
  <si>
    <t>0003a718432440a39beff6590bda844972517767e024f603eddfecc18bed6f83</t>
  </si>
  <si>
    <t>000b045711631370e075d2ac9fadf68400de84a2650bbdf5cc7c2cc1d8d2ced9</t>
  </si>
  <si>
    <t>0007f950b380c92f3b155ee093b7eb5993f21b1b4f127c1f4f5ee62f70a0a12f</t>
  </si>
  <si>
    <t>000324152c25c4493d4f5b6f9209b79a81cb68eaf3c9ecdddeecc7d10ca1cdd2</t>
  </si>
  <si>
    <t>00035496ab18caee9bd187e3f8611dec78afb8f98656451e794c79b4211e5f3c</t>
  </si>
  <si>
    <t>0001197b4da6eaf8ba9fb49c95dd42d1b22eaa9c728c64ef2c1264d0217a77d6</t>
  </si>
  <si>
    <t>000e4b32fa56c457a4c691436b72ae7d26f0013e697a5710dedcf55ed9bbaedd</t>
  </si>
  <si>
    <t>000532056ef92dd3b4f9ac9536d70f1da4226218ce0969cd0e2860763b459481</t>
  </si>
  <si>
    <t>0007b13ff7b3f18e5a0da7c7f5b4869f57a37a57310750d98ffda87b06a6b330</t>
  </si>
  <si>
    <t>000a3e6ddfefe8f9049c23d5c64d06ff07d7e59d47575af349e4e8af87a2906a</t>
  </si>
  <si>
    <t>0002b25abd29948cf6a3a84dfcb34ed78d93755eceebb42f78788f32e00ba99f</t>
  </si>
  <si>
    <t>000d8393345babca165fafe4707571c792288eef771a25fc282fab0a29025d47</t>
  </si>
  <si>
    <t>000cf77299b6c3e07dc2c2240f95912ce5e02504bc2740a176c05dd8ed276d62</t>
  </si>
  <si>
    <t>00027ab5ec8155120c9c4909b94163aad4aa3288af930e6216cad4d9846e5829</t>
  </si>
  <si>
    <t>00040081e5785fdfcc621d33905b02706a4cea4dcea6a149501c45bab89b4d4a</t>
  </si>
  <si>
    <t>000b445f07579d32ac07bd0fac63b5765c55458b7556de6134168c132f46b780</t>
  </si>
  <si>
    <t>000412cd521fc531ffcba42d468512533ce8763f14fe1bfe52d9da08c7dd2d10</t>
  </si>
  <si>
    <t>0002659a69666cf62c9c734e00da9a75e0be91bc8898bd81c8da52f44cdd8913</t>
  </si>
  <si>
    <t>000d19ea14544fb825b9360c18c4c588aeefac59e3a30bb8298c8e7049a9b2b9</t>
  </si>
  <si>
    <t>00024c7f2008175998d8ecf0e40bc8026e4574253106f8f283b40bc8caf25c6b</t>
  </si>
  <si>
    <t>000f225c6a8945a1b82d7029274a9fd931cb87607a5c2349182840b95da881f8</t>
  </si>
  <si>
    <t>0008a0e4e7a613165b099ab1ed6e6efcff69ed08bd1480a40fd862d6b4e5f04a</t>
  </si>
  <si>
    <t>0001602ffefbff1b56f781d86e0c3650d5392c11b2c4345f61828424b0a476df</t>
  </si>
  <si>
    <t>000b8396d00be9d01432368d17e3482132304362c8b43d184971c643f35448fd</t>
  </si>
  <si>
    <t>000654d5a622350b49f0e51e6af3fe3dc37582de4723d659c9061701cebf3342</t>
  </si>
  <si>
    <t>000e96e88bd25b5fc996198e0898f97f50d5b3065a673e826a6c2db5aa68187d</t>
  </si>
  <si>
    <t>0000a22df2db501336aeb1d3ec66dc6c5ca5d6f9bc901e939fd0ae4eb879a9e2</t>
  </si>
  <si>
    <t>000102695e11f56eaffd24d35daecfa1acc1f4848383036bb5b039891f5e5072</t>
  </si>
  <si>
    <t>000f3ee6751da5a7de3f1b0fb9e5bf9dbf800e7254ae8c81815a6a0e9f5967d9</t>
  </si>
  <si>
    <t>00008c8fbc6cb9d0c692b1942ebea87eb0bef455ab78880d79280422f61bda46</t>
  </si>
  <si>
    <t>00094cdda35a6dde6cb93f8c2f51daef09f2c80a8a9c5f5684e937560478936f</t>
  </si>
  <si>
    <t>00008a4ed7ef2c61e80df86491c3bec4b5445568f7adaab9a0fba5010d8e1b59</t>
  </si>
  <si>
    <t>00054e7b18ff10d2c12ab495e7f2900f92f8fa450fbd990af16a2dbb5aa1657d</t>
  </si>
  <si>
    <t>000e0104e60afb8a0f9779bbe8e5df5780433c7c62bccbb1ea7b1a91248a0e59</t>
  </si>
  <si>
    <t>000db6f9e0a8c6f4b08fbfcfdf44c471d38f6793350e3c4ace266acf8f9c1ffa</t>
  </si>
  <si>
    <t>000bc255de14ed547fee5a2f3cb600d11c2548c3c258998abb7828400fc6818e</t>
  </si>
  <si>
    <t>000c3a41a3520a3e4195900d02f17362635e8f6c6bef551e5166c5518962614d</t>
  </si>
  <si>
    <t>00075943b66af93ec42c93b430321faf56d35905720840b8565c8910992a8727</t>
  </si>
  <si>
    <t>000c56edfa72d15e793758f7f532cd58811b68b4f6b6782a2ce8fde43114383f</t>
  </si>
  <si>
    <t>000b74c01c98cf9709ff225c3a425fdd2234796471a48050f9a9ea4076241532</t>
  </si>
  <si>
    <t>0004473ff8752a77a9dd2667b661861374c395546216336fb00e61114edb4c3a</t>
  </si>
  <si>
    <t>000d10d7e6f1a04c8eb294cda8ee99949f34136bbd77ca4277f55bdee8757a40</t>
  </si>
  <si>
    <t>0000e84683f6afd11e684faac5778015bd5d0e2b70d526646399d69593a64e4b</t>
  </si>
  <si>
    <t>0001e26dc8676856988a5ccc96c7f9c17a7fd3f7951cff637a30e084ba475b6b</t>
  </si>
  <si>
    <t>000e886493bc2c771f9c85a20c0de327e1cdf7720e296da825182ab925eca737</t>
  </si>
  <si>
    <t>0006a28624a76949043dce2f85d06d6825eae3460c89fa0d3e8bc7daf86a17d8</t>
  </si>
  <si>
    <t>000de2b341a3824eff43fad6b0a83839e60ff1c38a5f41f51e17a28124d13c09</t>
  </si>
  <si>
    <t>000bd06c56826fb0b41043c2388783091016913a13390a740b80d2dad0c20a1a</t>
  </si>
  <si>
    <t>0008191c5e1c741d61cbc080d4f7667d2ff9264372284e20771ff0d564377a6a</t>
  </si>
  <si>
    <t>0006f6b9c8a4f21ab9e9e56e9aa3cb91d3176e651e9df81998da33268ae617c2</t>
  </si>
  <si>
    <t>000a5893fb8fa2d9482d328559985511e3e5d4c1421f1ae8f177200ccf87318b</t>
  </si>
  <si>
    <t>000d6b68606caf1c13ecf4a232811755ae8d5a449cd5a2942fb6d04515178e72</t>
  </si>
  <si>
    <t>00066baf5adac0df66713031dc2ea78ace804199659a088049b206ae0f98577f</t>
  </si>
  <si>
    <t>000c8e32bf6e06a86ee1a306b16a805b9cc816bb4a7397ddac7c6fa456e18bb6</t>
  </si>
  <si>
    <t>00017580998348b11e6ff16ea2eb1ed7005fc1cc76d25fcbca917e94f18cb138</t>
  </si>
  <si>
    <t>000e0b3739ea225600d2d32b804fb5553943d8cfc181550330feb5b34ff2a98a</t>
  </si>
  <si>
    <t>000665bd9c5408d473bec4cdf5475e4e2564a558e8ac4097f3837b7a22be602c</t>
  </si>
  <si>
    <t>000805eb52a63a1e99fa8322262559510fcf5615319c9677094351d751e3b70f</t>
  </si>
  <si>
    <t>000bc31e0c306f14f582f0408856ec56bef46d09fda54090f43877b9b74c7f6b</t>
  </si>
  <si>
    <t>0002c4d1d824e48823d2b46b8fea2ea15a9f6f58d254fc9b4c025c274dfe027e</t>
  </si>
  <si>
    <t>00023a6faa9e326b6e001fd1f8b47d6d11ca73c67865d1705485208f130fab69</t>
  </si>
  <si>
    <t>00061f1dff7a79bed7eb19a110e5847dcef0071df2a78a88f1f65bca25c2227b</t>
  </si>
  <si>
    <t>000cf0e0dc97878314664f4af281af2283040fc53fd0a10f257005e336613fbd</t>
  </si>
  <si>
    <t>0003f0db3514933d812816aa738ad11646b8e44909731be8488be5e96a64daa5</t>
  </si>
  <si>
    <t>0005bd5c4bd1e1d24600fa794186ed125569e4d64c3f060385c03cf74b76c76f</t>
  </si>
  <si>
    <t>000298a8dd112cf7a668fcc0e2cf34e9cef2de4d9ade508035c92c4b5dabb712</t>
  </si>
  <si>
    <t>00082af0cfa2c3aef528589aee29d0864decfc1bfe37b1000fe3e122c6e50acf</t>
  </si>
  <si>
    <t>00076587ac6046e02475028be368cc9900eb0ec180496d8f15f671c804934fec</t>
  </si>
  <si>
    <t>0002e55237f935ee3024b93f212f387124cc454bfea5ddd3bdd9db0947333b39</t>
  </si>
  <si>
    <t>0000b31c6b00cade89b10d2a3ebd9184b9414ba61e953c5b240e2cd93a7b2516</t>
  </si>
  <si>
    <t>000acaa060a455a0dc5bb055d1e444e4b87411eb702b7f5cfc10edbd0c9f5ccd</t>
  </si>
  <si>
    <t>0009c2c05592db9fdf4be24cc97652fb49e9866f82d130caddb5655c8dee68e4</t>
  </si>
  <si>
    <t>000e00bf68eb17d41f82809e0c903a17ac9aecf5e7321cfda72b17d6089f8500</t>
  </si>
  <si>
    <t>00081fef55aca8bf7b9fb504b48aeb5b8c511808e273a9cd68b8f31deb5038b4</t>
  </si>
  <si>
    <t>000d4deb5b6cd488913b1ace378cf2af1ee5a48e640b888ef4169759606461b6</t>
  </si>
  <si>
    <t>00000423107357fd0d8dbd588f6de04b470a5960e06a96a7c45147840121284c</t>
  </si>
  <si>
    <t>0005a5c6a925e01452eb76c31b4fe6528566ae2e321b3dbf33f4383ac714eccc</t>
  </si>
  <si>
    <t>0004089a61edf195253f0f71060ca98bbb5046c0c64a7ceef1b4232f39cf3a6f</t>
  </si>
  <si>
    <t>000bda438d0184e13ff07315a71f484c40d12d2ed3d2c533fdeb1d078983659a</t>
  </si>
  <si>
    <t>0002093537fbb53e602938536a9d634c8f0f71fdbb7a2e788f896c6ea0b97fdb</t>
  </si>
  <si>
    <t>000f18846ef45c29063e1c2dc76fd2867de83d2fa8e502fa5beb4071487b07ae</t>
  </si>
  <si>
    <t>00099d95109db846cb5c59bea61cd713e3349aaf8d549fb948499cea17d54f3f</t>
  </si>
  <si>
    <t>00021c6db6b8da472bd126b21bcbc51f53a5fe8ab3a2e0465dd2eece93589768</t>
  </si>
  <si>
    <t>0007a6f13c6140d1724556665cd2343223b2bfb220223ac76940dbaa221e20cd</t>
  </si>
  <si>
    <t>000e8984f61add884c1b51967aaca0ca36f97966c872135959d1abd72dbcfc31</t>
  </si>
  <si>
    <t>00005e405934dad6236c68a32e4dd7ab9752223774658f5d78e8923486727638</t>
  </si>
  <si>
    <t>0001ceed6002ee1c56270b8bd28e9448710aaee18acce23e7abd69aa9fae8b26</t>
  </si>
  <si>
    <t>000a6ea6690022bed9c6f6d2dc57a778a9f3f03164c77e43f55e3c5570a784ef</t>
  </si>
  <si>
    <t>000c9e4360b3827bf63ffc9474dda9c9e7fd4b75e98f933c771fc2b9e4f5f10d</t>
  </si>
  <si>
    <t>000a0dd5d75d2d5ab620afea48f3f1b5f75a4f3f60b1aaa2731f07496b8673fb</t>
  </si>
  <si>
    <t>000dae117ae8bbdb97696869a7404f30bba9488a65d3a4ece7eab0e1fe870c25</t>
  </si>
  <si>
    <t>000bce027c5be9d22e06dc890e78b09a672349bd61d4c09b007cc9a985f3f642</t>
  </si>
  <si>
    <t>000cc4c0fa5fe11beed819840932a35e51eb920a389d6fdd0061944500edbd82</t>
  </si>
  <si>
    <t>000da24e8454884011b9d25fb98fc4336484144939cbc878dbfebef3923b18ae</t>
  </si>
  <si>
    <t>000044e6d1c9bb516f8834936b982da3c3c80ff133fab8ac308e919e58119de8</t>
  </si>
  <si>
    <t>000943f734134df1388f7d513382cc9af6799fc39161aef4889e6d759801b776</t>
  </si>
  <si>
    <t>0000f7807137266a920246bf8d0628df98e935935e168b2f9952db9a1aa5808e</t>
  </si>
  <si>
    <t>00068c705148df0315cf2ac4c9322ff6b75dd8494e2ac20a86a0749fc43a3e7d</t>
  </si>
  <si>
    <t>000462b2ca6d8f59511eb04568e20b0a3a08b53480b1b52424f16bd9ef41668e</t>
  </si>
  <si>
    <t>0007f29a72c830c9ee0d8dbabe0964e31510c6bbb68f164a45eaa18786561230</t>
  </si>
  <si>
    <t>0002b5831eef54c99b62d1a6e5c87d07f94d29662fcbc3a930d499e1b88f8480</t>
  </si>
  <si>
    <t>000d5a181098b8add80e580cf9e83b02d43f00e0bf7d4cc01326ce7f5bc4923c</t>
  </si>
  <si>
    <t>0005c3e719047fa1c5e6f6ed6a5065a805fa9340bb5e879bbe340e405a71e729</t>
  </si>
  <si>
    <t>000bfc837aaf8d4592948205caae5f6dfbaa84bd429af32271796cdcdbe0e98a</t>
  </si>
  <si>
    <t>00043facb73f563139af94d88c877b7825eaf2486da70e6095de38f3b47a1bcd</t>
  </si>
  <si>
    <t>0000d352c4f02232451437aab05b9fee261d054b012b94e5171f434012e0130e</t>
  </si>
  <si>
    <t>0002903b1ed2899d691321edd91a31b33fea143b8a799bd511706060d2b8c252</t>
  </si>
  <si>
    <t>0006bd783f5fa07a2072287fcf7d1c2034d6118ebd8b081843fe45550c2bf335</t>
  </si>
  <si>
    <t>000318755c31a0dec1ed1898626824d4ee088d28896bae43dbf90f3e771b76b1</t>
  </si>
  <si>
    <t>000432835f0610049414f49863a8884c305a63fadb489a340ea9bd0756cfd2fe</t>
  </si>
  <si>
    <t>000215f9da603f9357e2a0de1cce49ecc6b2756abf53a8d6bf8dce9e08cf7816</t>
  </si>
  <si>
    <t>000ce02a2297732dde240b4da461003142a879b6dc7efd7e84cda521a1771289</t>
  </si>
  <si>
    <t>00091470482d8860fd2a5ca5f8ab5c952458395cf47e3c2dbd200e362995092a</t>
  </si>
  <si>
    <t>0003f0828c7e40a04c5fefb8b139b85afd4bd6b15a326a21a2949fc281e88cbe</t>
  </si>
  <si>
    <t>00094d88d0e7fdebf77baa70cbefc8cc05da6a8eb9162fbb8cddc3000730bd2e</t>
  </si>
  <si>
    <t>000dba906ec25dc2858d60462a9f6fba237c0c39a178ea295bffa8e7b47bf4dc</t>
  </si>
  <si>
    <t>00006dd12f2edfc12772750e2e2a9f23bcb198898f746446cbf77d10120ccee1</t>
  </si>
  <si>
    <t>000e4f2b11514ec6c75c63dd848d4e218d9439fef60791c0f30314a2ffa4fbbb</t>
  </si>
  <si>
    <t>0008583673caf6008cf7675e8ccbce7ed9ff94ee1665140f48bb60cb5264b870</t>
  </si>
  <si>
    <t>000e4c26d3f043a67f0edad628169c359362557e814f147dea9930a7864deda2</t>
  </si>
  <si>
    <t>000e434a58cd9c9cb2ea039bcfb209b5eb1af89d6e6b33417ccfbbca3c0f2b12</t>
  </si>
  <si>
    <t>00075f4f82fe6b453e0db74924ef02bf583697f46f66e342b66bda5dc6101bc6</t>
  </si>
  <si>
    <t>0002fc105698b3a0da8dd60c41b59408db0d53ea215dca6b0088fb43e4e591e6</t>
  </si>
  <si>
    <t>0006b2ed6dbf04ad6b044ae30d1dab4fad1b2f5b31b0ff6e9aa20bf6804635ee</t>
  </si>
  <si>
    <t>000cf24a23f70797964095db9f0413ed90f011290a4775bf465ac0781ae46188</t>
  </si>
  <si>
    <t>0004cc03282cd91c1c24b7feca83de6e41153aa80ebc80dcebf1acdf9dc44639</t>
  </si>
  <si>
    <t>00078934e340c663ce2a0c2d3fb8a72aad0776b2756906727ec0a1ad1f59c782</t>
  </si>
  <si>
    <t>000714c6acb670b1dec884d9dbd2631465b3cbf69716f1746e7184234c5ebbff</t>
  </si>
  <si>
    <t>000de22d0c2853de293c83c8d04a3b583f5e21338af595fad5ee589c4096e003</t>
  </si>
  <si>
    <t>00088fec8ed6049b1f6e7f517b9a39bf3f67d91c0b240848cfd29c38837d04df</t>
  </si>
  <si>
    <t>000583673116339c3224a50a45643ac50495ea61027701ca788be91e5ac99524</t>
  </si>
  <si>
    <t>0000f759cbabf9709a38f2dec5084ce885180bc9e13ebc9bc47da4292604b75d</t>
  </si>
  <si>
    <t>0001b29ad0bed7a5dac9434131ab94a73f7c2a1aaa1a705ab2d156ba2802334d</t>
  </si>
  <si>
    <t>000047d7f3b8de70ea2bd86fa98752194083a78cb09442495160b57c1f1bbfcf</t>
  </si>
  <si>
    <t>00096bdc0be4c065d0f0ed9e086fd3498695a4b6cc47cd64917e766661b30cd5</t>
  </si>
  <si>
    <t>0003b6d79773120227ece39c0a54ae7f7f2668ab74e2efe2cfb5ce8ac7bd3f3c</t>
  </si>
  <si>
    <t>000ca3e9f22497376e762cd07cd3f38180d4760691db196cf45ba834ae27644f</t>
  </si>
  <si>
    <t>000cb7d4f2d2691680b52884189d99ba29b45634c26c5b18e592a15cd77fbc41</t>
  </si>
  <si>
    <t>000997fd6b3f1f1f09c97aa4f9ab078a00bfb7012c9e2696c62019387d4e30ee</t>
  </si>
  <si>
    <t>000d68648c0486964f93acd3a30f4ee5f640ff0cea23c688c7443d3738edae73</t>
  </si>
  <si>
    <t>000e87ca7e0c37a17b8328e4c1c76e0d695c5bca0783ab2655bcd3b158c35f3b</t>
  </si>
  <si>
    <t>00052103c1a2d282ca2d23d3dc0265bbc27b477b575704f3b191794d960c8ca0</t>
  </si>
  <si>
    <t>00048335cc95c2a3a5871356616fed3398574540cb8c4a722a1bb2bc460911ae</t>
  </si>
  <si>
    <t>000978e1b17276dcb7fcc39b2bff6c0e81b90d50ed28fca832962d87320bb210</t>
  </si>
  <si>
    <t>0003928c74ddd9ed9cdc7cebf6d98dd4e91ade0b7e9e6783495a9c5ea95921b8</t>
  </si>
  <si>
    <t>00005a9510553634f087fbb9849305697e31548055dc938ca99cfe70d44980d9</t>
  </si>
  <si>
    <t>000fdf943d0f0a726b8696c708b0d3c5520941c4411a2ee9fd42e03f6606bc50</t>
  </si>
  <si>
    <t>000086d3e5f2864d1288c547213fb141cbc855fc3f219aa7ca220b5a2039ed9e</t>
  </si>
  <si>
    <t>000e33e41ced2a1c01a83a0bda590b4779b1b72d23f165f3e4d5cf429703e605</t>
  </si>
  <si>
    <t>00006069e79ed3dff36876b96f0d6f4d344415e3e9e2b1ff54aa79aebf43c7ae</t>
  </si>
  <si>
    <t>000ef2b1185ea1fbaf0f49e1aa41cc2185f5a143eb7760dff9ee5397532d8ece</t>
  </si>
  <si>
    <t>000658dcbbc0ab9885434b0cf4026d64a9551a55c311b6762df86b3336a5a65c</t>
  </si>
  <si>
    <t>000f49c0d69c32d4d6fcaecd19548e23ad8033d33adc986629aad5c14f04bd24</t>
  </si>
  <si>
    <t>0000eb2be018d282641bc3bf7a7472b5dc8c388e2c2a75bec2727b10d0552d7e</t>
  </si>
  <si>
    <t>0008af1fb75f42e0242e5527bb4f22049769b00b3268973ac4576dd3b767afbb</t>
  </si>
  <si>
    <t>0002aeda6b65117e0ae2881b2ca9b8cdd3447ae51d36a7ec8f369e7ed3732943</t>
  </si>
  <si>
    <t>000a7e2a8318eda6a38f6dd3dd72b684df436348e44738dc4737e734ad7cdc39</t>
  </si>
  <si>
    <t>000f159e7fc577dbe8cf751b59f6efa313f56d87dc30df1d37a668d8bdb6377c</t>
  </si>
  <si>
    <t>0002825eb34d26e28d6064a2bc336186dc0a722226ad5a2ca7709fe1b3a827e4</t>
  </si>
  <si>
    <t>000b171481c3c8162647c2651b95b828959f34e8acac82d91852f3ad2b2c757e</t>
  </si>
  <si>
    <t>000f079ca52355a0d4fc45196fe69d78bb484eb5053c4a8ff1b84057a53e7300</t>
  </si>
  <si>
    <t>0008e1c4f5ed5e1dad215083689c32a7f842d1b07f65ef3be3dc3a2e5c65edde</t>
  </si>
  <si>
    <t>000a60aa7af2edfa7baacd8624203f3eb15785a649e0c789ccda4d4a997dd232</t>
  </si>
  <si>
    <t>00076af72325dd4e066fa23fd5f159c827a8cd9c4f1d06acc3f6e7d9e64ab2e7</t>
  </si>
  <si>
    <t>0001ba89760338163f62844963c5b271a3326ef26d21d93813a511486e4daabb</t>
  </si>
  <si>
    <t>000b7f1d8c7ddecd9491eda1d9d11e5b31c7ba2c21c35f8a6981dbcaafa07178</t>
  </si>
  <si>
    <t>0004b97db7fa88d0bb49c800c6d000c194e075117415dca0454fd47a93a37151</t>
  </si>
  <si>
    <t>0006ce7aabf2a3eb730f665db207c1cb39c9320f55c2e9aaa4407b5bf30fd2c6</t>
  </si>
  <si>
    <t>000feafbc11008e6ec31987f71ee71277d6ea5643a5c4ecc7e244b9538227f49</t>
  </si>
  <si>
    <t>000f00a2e20409f68a9defb20d7ced9857914eda36af291b936f63ea1facece6</t>
  </si>
  <si>
    <t>0008d6eeb4ede284fb6358dbc72e03dbfdb99bec8a50816cf7aa2b48e9642689</t>
  </si>
  <si>
    <t>0001f06cc77de0d46e080885f9a816e728369e3cb0c5fe26a607870d608c52fa</t>
  </si>
  <si>
    <t>0008c272c297b6995f5fd5bb6c2553bcdd527605b0d7c69065b30cdfe93cc776</t>
  </si>
  <si>
    <t>000783d13d14f3da6582c27541f539c78b53534f5115129741c21f56add047c8</t>
  </si>
  <si>
    <t>0000a3d5dab5dc6b8051af9e4b77475d2b88f9a36eb8d7fac314ae8f0b79cb8b</t>
  </si>
  <si>
    <t>00054fd2463add10cfff36af7ba15e6c33a3dc4b3935619ebcb514e827d8b640</t>
  </si>
  <si>
    <t>0009ef219c3404348889ce84c6faccfc9d9911832a23bcde6885fb484a38b047</t>
  </si>
  <si>
    <t>0001f3d87f2c629075b5a77e5bfeb86f49bc58f7cb180124c96ba11e20670354</t>
  </si>
  <si>
    <t>00040487c836c2313ae32204345f901fff7550868b0d09a6e17ff7f0256d49c6</t>
  </si>
  <si>
    <t>000a05dc7d7ac31169b80e52fb72a7ecc1781517100fa50c673cbd66dba8efec</t>
  </si>
  <si>
    <t>000a9dd3870a38da8bfc077ebf3f34b2cc0e39c459915d13d24e9ec3ced5929d</t>
  </si>
  <si>
    <t>000e0a8703caf5bd4799d856218a4b760516fd821b79a5d0a125d708147e5f1a</t>
  </si>
  <si>
    <t>000109ed4c64846db2f6f25aaf0cc966f72278e33d17b247e3b3be6f535ad300</t>
  </si>
  <si>
    <t>00045bac5832a5f177c73156d87dfd70bf9c974ae2078ec47dfa15f8f2d352c6</t>
  </si>
  <si>
    <t>000d155d956c115b9f9255e043069b77a196135f0a22ef4c6316b0351af4acc3</t>
  </si>
  <si>
    <t>000b915f5b34a06f698c70c7b1a2d07c8851fd8a0252865009c76198bed060af</t>
  </si>
  <si>
    <t>000bcaa5c455e31d8a29260c549a6f562de66757d8c6a6ad3c037b5043c53291</t>
  </si>
  <si>
    <t>000274817032b1049162b57323746a5bc93df83461de7e71e7a73425e093bcb6</t>
  </si>
  <si>
    <t>000096672cd864eafc8b34d0662e1cec97385aa04647801a5e8519bbb5cafc2d</t>
  </si>
  <si>
    <t>0001e00849d7cf48792fa22c8261276aef542eafb7f7c11eb567c736a9054162</t>
  </si>
  <si>
    <t>000776fe6b7becc7a5c7c0e8d05b5609f90f5e8a98141dfd73395dbc67db8629</t>
  </si>
  <si>
    <t>00082a7b7944a070c0475b412e10c59b8226cf87468814a104289b885e470b06</t>
  </si>
  <si>
    <t>0005c5565c4d50da79057f3cd181242d38bb47a8ff976fb21a9b181859a470b4</t>
  </si>
  <si>
    <t>00029d3fd659358d84b14a38cb140cf8c3805261b714a97263d713db5f925635</t>
  </si>
  <si>
    <t>000772f71551b65fceb9f4a6f3fee29881f5b0aef9d4c670b64aeb9474fad9d5</t>
  </si>
  <si>
    <t>000a18233ed736135cd38bf48c4f670f2ed61a41b8b39e28bc9eb5554371df99</t>
  </si>
  <si>
    <t>00010ec25fc136f643e5a624c73fcc7b7f8b324143a197646bccb57ba370fc59</t>
  </si>
  <si>
    <t>0005a047b697242b4f92d5e916f7e21d3d0e81b5262708f2e76d2b330eb60e08</t>
  </si>
  <si>
    <t>0000b24aad4493770629a9b5b27ade1d330df44967154eba5a4ec5bbb5a1cb32</t>
  </si>
  <si>
    <t>0004ac77acd84218ed7d156e4e1f4ef34a6550e7e6c395c27f984f933a8bfc3e</t>
  </si>
  <si>
    <t>000323be5ecb0dedd4aa7c083b28150d68600d1465b1dbf1293502abfb6780cc</t>
  </si>
  <si>
    <t>0005fa3241b6071e0679ff46b0b0509a0162d7c809e3e9f388f8ca62243f21b7</t>
  </si>
  <si>
    <t>00066687a081c51fb1d7a86fea9a6d13d74151e13239290c76f5d13956bab6c7</t>
  </si>
  <si>
    <t>000e3a44a447515b832608dca7ec4eed768d78932597c68de1b5320e61fa5ab2</t>
  </si>
  <si>
    <t>000ea38d09196396182130ff6ae7ed930e9ab99e6a3113a0cf1772ea52228780</t>
  </si>
  <si>
    <t>000a5bb4f6729dbdc69d7eb65a4789e9baa239b049a57da07cb53530ed58c630</t>
  </si>
  <si>
    <t>00054c6aca67a67e86e440ab9366c5a97f227c721dbf2be7e17fe815a5a9f94e</t>
  </si>
  <si>
    <t>000668b0bb28ffbc65ed5f0a792f2fc10e0d910f04a456c2bb782715d0ff35da</t>
  </si>
  <si>
    <t>000038e15043b85762fba5468c2c6452795aa57c1498cfa1a9eceff1f07a9293</t>
  </si>
  <si>
    <t>00053cba87d44eabd34b9e987ce90d905fe2242119e0f6c86690de5cfdef5819</t>
  </si>
  <si>
    <t>0000b9877a4da62e2a09df6518be1141068dd8a7ea8590bf64689e923e076fa8</t>
  </si>
  <si>
    <t>0004adb812a6caf797e9303917a154b418f9a79fa025d8a774dac4b3f07be3cf</t>
  </si>
  <si>
    <t>000e9fa2ff0b902a1b70a1d3e636f9eb3c9b75a8f2713b6916aa5d0d949a93db</t>
  </si>
  <si>
    <t>00080726c66e051b654bb83873aed1b54c67a766bcc0b12f754aa37d6c728eb0</t>
  </si>
  <si>
    <t>0002aaadb8976feeed6710603c47230c08597ff8c9e49cf8db0a9b0c7a9d4e5f</t>
  </si>
  <si>
    <t>00031bfc3350f8f467d2294e4e4344b1a7a6ff4fa92fa51de31574b7dc8d33c1</t>
  </si>
  <si>
    <t>000e4ca1e9a720503137152b60ecaaa2ab7bb4059b5faa447e9a421a57bc8924</t>
  </si>
  <si>
    <t>0005784909daf9aecbdd412e56651fe09424ad917fcaa517ea9451ef649f9d36</t>
  </si>
  <si>
    <t>000bc8c6ccdaeff188ff252edf95b845090457870d2577c474bffbcfc85ff50b</t>
  </si>
  <si>
    <t>0009d9cd900b1d36967e11d054073a25e334b47a58629b58f30ec9f7a77c431f</t>
  </si>
  <si>
    <t>00077c50b144097efcc457aad9197bf6c5352c38b1d12c3cf76b682e202adf0e</t>
  </si>
  <si>
    <t>0003a81409e2034eca76c75e4d6c28e41457e7e130259b708129642b6640ec29</t>
  </si>
  <si>
    <t>0005ab70345c037dec90230d9baf77e2eeab9d023679ea1bb28f8f30dd379b85</t>
  </si>
  <si>
    <t>0002e1c15e241b42587cb2e83b5f1ecae07cbff6158ec422c2a3ac28cb3bd98c</t>
  </si>
  <si>
    <t>0006a2e7048240c5d764e738972b5567843d4d04a9b790642e002ee62aa67400</t>
  </si>
  <si>
    <t>000e70882c7082081a80a11c5f142d2b434b303e89b4e8b641a487ad8c9ad3d7</t>
  </si>
  <si>
    <t>000be0475044144db5da9a52e80b5b3fdd1dd8b425ac1421f2d65bfe64de3426</t>
  </si>
  <si>
    <t>000f2668997cede447fa0b8bbde11cd8c5b9a9cce5dd2416e67f1ed624957ef0</t>
  </si>
  <si>
    <t>0005fb934dcad8de3db826e4c729da39b6d715852286590fb99eb4c23d383892</t>
  </si>
  <si>
    <t>000560a79b89e1e09a680caca797cd9b01701121fdef140ecdc1c94b51bfc6c6</t>
  </si>
  <si>
    <t>00062aff0c6a9aaa3cb06f085c8e8dd5deedf1ff54cb1893cffcd8d9cdb5dd42</t>
  </si>
  <si>
    <t>000921294b17c53a7fa9fb78c686421bbd5a3df84edf07529a2bea4d927e7278</t>
  </si>
  <si>
    <t>00008049917dab40d277909f6982f4adaa0c0a44208e2351ba3393df69a4af60</t>
  </si>
  <si>
    <t>0002638befaf4ba3d3ffd721d1fdb1b8ebdf2208808340db71bca4fe881fa1d9</t>
  </si>
  <si>
    <t>00054fe0caffbd7edd9b8db837cf427e08c116310e06b5dd6517b0ba4bde134b</t>
  </si>
  <si>
    <t>0009b566b471bb210dafc501662211aceef5de7423ce230823a1bd9d651ce225</t>
  </si>
  <si>
    <t>000682482e6fbe599ff1dc05d49ec602a3090215ff2a2dba7816d7e9c8306963</t>
  </si>
  <si>
    <t>000f35bdfcd2d0f4b5ed279fdd75f15f840eb0492f0fcf0ddfb781988a0c333e</t>
  </si>
  <si>
    <t>000349eb7572c79b007a2c17d73c90a930d3a35f9b812140236eeab80ecea0ae</t>
  </si>
  <si>
    <t>00006294c5ed6ce6e5254bfb35309ad2356adb3943d10134bbb9d299653af843</t>
  </si>
  <si>
    <t>000dac925eaa7bed303554f8e42c2e5633637a2c8519a05538783d0ab4bd5a83</t>
  </si>
  <si>
    <t>000e773ed4ee78a2fd489cc98fd9f4d5d66142836b863d0797a29172eb39ebce</t>
  </si>
  <si>
    <t>000ee09580b9f0d7443ee4cac46512c4a48d477fed03b1acf3567f0b0925c27c</t>
  </si>
  <si>
    <t>0001f2535b5abe79d00903337b8f8154229e6b3df93b16427b66863c9bd50db6</t>
  </si>
  <si>
    <t>00089fe02925521e6b4334605d00f26c5c96db3955bd1e53cdf0beb8fff2d6ae</t>
  </si>
  <si>
    <t>0009b52b33b54713a814cfa8c91d86488698b87b33e85515272500a57bb12a15</t>
  </si>
  <si>
    <t>000496a4adafdb37def6fc63543a811a42ba192444bde3681fb4fe6a9bdbce86</t>
  </si>
  <si>
    <t>0000a829bca8bdd24590abba57128e4935aa27d22f9bda518002aa6dd67efd46</t>
  </si>
  <si>
    <t>0007d075189d99fa4071f362b4dde13a4c47b254d0fad34091b6631086a182c0</t>
  </si>
  <si>
    <t>000009546363ef1de9234d277a1c8f2d200f91b0358f0b5297da9add10278015</t>
  </si>
  <si>
    <t>000f36e39ce676edb3acd5da0a33cde522dd20695e81210d267cb191573ac49e</t>
  </si>
  <si>
    <t>0002688c981a4576aef232eca89a4057f2b408d1025cc1a5eaa0a7d8f13c70a0</t>
  </si>
  <si>
    <t>000b818806023e016a2f6d73844c11735ad1ffc0902ec2314b0adf2c014c10b0</t>
  </si>
  <si>
    <t>000a5bcd03b995a42c5b4bfb86ce818bb526eeda13066755736ee3ab1a88e2fe</t>
  </si>
  <si>
    <t>000da3c32f8bee48eb9cbb7db74ad058bdf349c2a72f54ebfe5989f4b23c50b0</t>
  </si>
  <si>
    <t>00010dbad70d8c8a0bb233912e98fc31a1d06cf7358936b9e6e62d2915b16130</t>
  </si>
  <si>
    <t>0009c50c352d0d8a82f304ccd1a1f9090a232e5e168ee91d10e4c4cac2b1db12</t>
  </si>
  <si>
    <t>000c55d0545bbca12f27d07e93012dc1a1c1dc78258594f7b6501002e41ac471</t>
  </si>
  <si>
    <t>0001acf2e74d2fea0420da772af7345adb97fe920120ff9596af2d1b50833720</t>
  </si>
  <si>
    <t>00035b456a9ed5523601e1cec5bc5128cbe9a15769f1e5cae04d185c2e426663</t>
  </si>
  <si>
    <t>000913e4da246197db8c0bc9ca2c60d62cc0299f2d1a748cf4ae8064d8f4a566</t>
  </si>
  <si>
    <t>000b628792c0eac82d93f7c1f03f5d1677a6716d22cd9d7347269cfcccafefba</t>
  </si>
  <si>
    <t>00064b64a33752eb9128912abcb27a1f65d86c07c9b8c9a3201829379c5663c7</t>
  </si>
  <si>
    <t>000bdf0c853795a5bd78271ad7a0b5c323c07ccd0bfa04d78c977d630bd762ac</t>
  </si>
  <si>
    <t>0001a42d019698fbbdd6f710e39f5ded700461a51f56795f92da3e83430559d2</t>
  </si>
  <si>
    <t>00001e6e7105436f58fb5b3121c741c4495c5d3386c1e54e54e4ec60cdc9b30d</t>
  </si>
  <si>
    <t>000ea0bef407c448776615105701f42c66493bd64371560d8c79f2ab3bcd8aa9</t>
  </si>
  <si>
    <t>000319921decb862be02bd08d09ebd5961c5469658c7f1f69fe5782fd627bcda</t>
  </si>
  <si>
    <t>000645ef3e4c630b5537006b031a38e5ec1a4ead902d1714394b0ed1a5ff9552</t>
  </si>
  <si>
    <t>000d836c63dd513642bc416537fc255fbe6a73126d9e6248f4402e127097190d</t>
  </si>
  <si>
    <t>0009961adacd69d9489618ec382847ad41f018c4a60c8f1c1335827e54426c23</t>
  </si>
  <si>
    <t>00057ad96db0784740c08f8182579d8b7fb959b7f787e7e9d99fa4fdfe3fbf9b</t>
  </si>
  <si>
    <t>000e30e76c061225850a19b72e1beb1bc5903e1bde6354f781143e2a7bb7dbc7</t>
  </si>
  <si>
    <t>000318e70bd827bd8c77f0161009d801b0fbf44254852cd6065299fd1c775db8</t>
  </si>
  <si>
    <t>000072e6a5758ff65bbeab76df24c5fa66ae9dd08868d8bafe5f5df5024013dc</t>
  </si>
  <si>
    <t>000b0664aa9ed31e6c3468906b3b8254a0f4a670c7e840ca9c6335c8adbb127c</t>
  </si>
  <si>
    <t>0003d01b24350606033a7205f74b3149d88b3e3054adafe1290c232c68f01700</t>
  </si>
  <si>
    <t>000d84880588e206c19f1a59d6b369cfd98050019cc2111c00360436cb7702e4</t>
  </si>
  <si>
    <t>000a7ff0636725a2bfb78bef70c948063e74df37566a713093d036ed9e3e20d3</t>
  </si>
  <si>
    <t>00079c5e3ec4a85da74b1af3cc82a4599a4dfd50c852f92277dc3afbd7ab2abb</t>
  </si>
  <si>
    <t>000f9dc44c0596cb902173cc44fae3d18a8fd5271f50b1c169199a5d2e86f98c</t>
  </si>
  <si>
    <t>000349f2e04df3b2051351f00c3a694dfd55c240844dd1c6ce54a227174834c9</t>
  </si>
  <si>
    <t>000b819bfc64e1ae05374416520d859f54ccf0987e1d7fa230ed9c243e4697c1</t>
  </si>
  <si>
    <t>0004d532c351a1954b362347ef428e7cb29d8120fb1081d31cc11745dc7632ba</t>
  </si>
  <si>
    <t>000ea8c27e78023358825da1d0e4d1c58612656d3ee0e7fceb7b4a048cb2899a</t>
  </si>
  <si>
    <t>000ba2f6d0148ee95d7fd8a2302dd709777bd9488eed2415dbd33f42bd0ff9aa</t>
  </si>
  <si>
    <t>0007025640b1212ac6231a49d1798618f4a0f7b7b6a85f53a9abeb0f9579f0d6</t>
  </si>
  <si>
    <t>000cad0af6d17ad77dea6601f85997b314315b46621173494d231bd7f5cf83f1</t>
  </si>
  <si>
    <t>0001fc74f49464aa666d69280299b39b076afbcd000764797bc0f7c152c54c8e</t>
  </si>
  <si>
    <t>000add438a6219ba306586e94a74b4c045c74bdd116ae4ddd987e72161b6381d</t>
  </si>
  <si>
    <t>000a6db65d08c85bb4963b3cdcc9f014ab63b20e448d787cf3c11e5c724d753c</t>
  </si>
  <si>
    <t>0008bc51c91ff05f25f47185c891dbe593292cd3399d9070754154530759595a</t>
  </si>
  <si>
    <t>00069d191cec41cf6f4ea72d1929b68e3e44ba08f858ca6c833bc4d28cfd81d6</t>
  </si>
  <si>
    <t>000c2fa80f3a534094555630459cba79dd499fea499080d9101cb8ae301f092a</t>
  </si>
  <si>
    <t>00091ca42a81199b1fc2a14d6a15257a588e22613478c2ecc163dfd5ccc9907c</t>
  </si>
  <si>
    <t>000ab6c585324eb9e03598f0f003608fce663325840700cbfb6add78f76c244a</t>
  </si>
  <si>
    <t>00012eacf7d034e8016aa07fdba5302e97e03f1dac305b861f97314107588a37</t>
  </si>
  <si>
    <t>00044e943e0b02b15a17241c9cd6054b6a72c1b0e41dd900f1ae6a31d78bec7b</t>
  </si>
  <si>
    <t>000c5c3aecdd0bfffc986835af9612e120cf0a06f0992ebe0df4c4d175f2289b</t>
  </si>
  <si>
    <t>000ab747593ffa90309d3e4ba8caad7cf6abb775b180391588911b176a1053fc</t>
  </si>
  <si>
    <t>0005dbfe3c3d21f000bce7361452bdbc2b0b35992038374f7376f9b5b7e9f709</t>
  </si>
  <si>
    <t>0004fa059edfb0869e57e2b4265f30bd21f479e12e78da573145951d51f46ec2</t>
  </si>
  <si>
    <t>0000e1f7f3a823b8eaebadfcbd64a3b50b1a17be33f3323d07b7ed3bb3769984</t>
  </si>
  <si>
    <t>00026bfc9bc2c97b9e8403286b00ca88dc41d7d7a6f8c9d83d10f79285d8f576</t>
  </si>
  <si>
    <t>000b1b52ebf810ed4e3a74ef7c949433073b3a2383e803f73691b802524cf8ca</t>
  </si>
  <si>
    <t>000e01280e910267a83661e9e6a2a85f8ed10ec4702e71fbcaeae2ee97f17543</t>
  </si>
  <si>
    <t>00052a95aed2db1d3a519edfb23fda4b4006466d5821c6791e3e3de27f63a28d</t>
  </si>
  <si>
    <t>000f88d9e4da7cf7d99fce29cda65fbeeab07a38511a9bfa12797e285684268c</t>
  </si>
  <si>
    <t>000b47be9628738ac430d40f02fd403859e8b6557d94455a31f7065f7aa92db1</t>
  </si>
  <si>
    <t>000e4814afe1c3ab2945a19520f07ba133eb44249dc6d0e2154029fb432be5a2</t>
  </si>
  <si>
    <t>000a6f02225451c2452835efdd7b7b1b6b72ebb35157d525e35688e60bdeffb3</t>
  </si>
  <si>
    <t>0000676629b93998a4bc32b363f78550cba2cbfeee3239c9c7fc789770a75be9</t>
  </si>
  <si>
    <t>0001e67a1d131526b836e2d4f92d78a0eb81047211fbf81b5b3b72f31358affc</t>
  </si>
  <si>
    <t>0002736f4ce241916e6351794380606e087c1c52bd38a3cfa1f534c7062a2811</t>
  </si>
  <si>
    <t>0003d3baa82fcbe24b27b62409d4e601dd1e7d3182d91303d8ba471109f0d18a</t>
  </si>
  <si>
    <t>000946a462910f72eed382aa2418e68e749d67144cfded12b6aa308f6d5d0f27</t>
  </si>
  <si>
    <t>000e93da7975ddc12014b4443df3d5e8eca8088b4fcf40b50031a57eb7af2d5f</t>
  </si>
  <si>
    <t>000abdca441226c571847a38eadd5f0f1233cc90ccfb0ac3088d30e806242f58</t>
  </si>
  <si>
    <t>0004149f3ca298bc88c2d863858cc197bf80c7d9d0b1c368b507762dfd0f5f2e</t>
  </si>
  <si>
    <t>0005788bf6aa16a7ff0f8dd3670ec61366cd6523f4f5c4780eae859959c7dffa</t>
  </si>
  <si>
    <t>00072c875f72551512cc4d6c9d0bb86c9a19565fc31796e1cf2ec56f92a9efd4</t>
  </si>
  <si>
    <t>000112ad143e5c53434cf36ed77b6c4bef5383f8379d4e1be578c8b4127ee719</t>
  </si>
  <si>
    <t>000eed3c9bd5365da875e7f15f589553d89ecccf8c289b9e75a73200e3411f1b</t>
  </si>
  <si>
    <t>000e548f2a782c9d377594dd0a69eafa983e28da3fa6ba83cd982d8cb6323e50</t>
  </si>
  <si>
    <t>0009a1d95155b6706448f783bc0573b453269ac0d613f0ed64393befa3b86ece</t>
  </si>
  <si>
    <t>000fba7317ae529201315bbb7e3ad6f2d1b8b6b2d5b8d3bba7d15532a5d0f9f4</t>
  </si>
  <si>
    <t>000abe5c1d6a92e587ebac5b5688046a33b636b35ea10aaa215bdc8404ad58fc</t>
  </si>
  <si>
    <t>000e2e6996268ad3efc0b434e9b59fca8ca85badb6b9718835c6d9112c3791ff</t>
  </si>
  <si>
    <t>00091c7d6240446e68c2f38aa9fc1992484cca3f14a3625b9323eeae23dd3954</t>
  </si>
  <si>
    <t>000909eed767e08afe299bb72174d8a3598cf5e4b19720bce9bb76b80495cdb6</t>
  </si>
  <si>
    <t>0004596546be1e28b16895f4590d0d472373b8b6564e3fe152002546295ee3df</t>
  </si>
  <si>
    <t>0000e10de1f7146be75da092f8c00824722f7a46375652d5fda59d701ef5b62c</t>
  </si>
  <si>
    <t>000b1edbf4ed83e749dfd87445a60665625d57536b562fd626951b59bb0ced79</t>
  </si>
  <si>
    <t>00026dd7bbe5523dd884c0c68a5b482661dbc94a6c0775521fe94dbab40eb146</t>
  </si>
  <si>
    <t>00090de85dae63e166da3466f629089a76dbccc1beec77b2e1f2710c4eb81a59</t>
  </si>
  <si>
    <t>000e9f09a99e4a2c16eea4c17f01d580576e2560f62d781483935d46f17e321c</t>
  </si>
  <si>
    <t>000a4414cc998668d1ff32ad55166054bc8f6d409f6e1f8e195779c062d975a9</t>
  </si>
  <si>
    <t>000b5d358e8570ec814710f03856caa001e52d69dc1bdb6854d6368ad1dc198c</t>
  </si>
  <si>
    <t>0008211a3f6d4846f499ff41d44c35b4aa5c1d8e1815887894e930920b3bbdc1</t>
  </si>
  <si>
    <t>00029ca7f8a1c0c6a2a23494cac2e7e5cef6beaa4c79d2b6f82e326023ffa4e4</t>
  </si>
  <si>
    <t>000fbe35f87af7a98a8131132f00f171c128fbdc96e2c6bc75d29271dc260810</t>
  </si>
  <si>
    <t>0002bc3d2f8909a0975ea0579a7674921548ba2afbac773d4b96199b019653a5</t>
  </si>
  <si>
    <t>000987d30b68df1cf2d0a08f9394a1ac704a871b9df92ab0b9bd24c9d35080be</t>
  </si>
  <si>
    <t>00030cc169ca5a88f28c6ca1e21714bfb4631daeb480def891e29132192b7c12</t>
  </si>
  <si>
    <t>000eb24c9a0486cee83c19aeab481d4fa73f35c2e529bdf68be03b8ad5c89f1a</t>
  </si>
  <si>
    <t>00083f012d298a3f0b710685bdb187ce85dd84bc6f289aeba6a6df910cbf1387</t>
  </si>
  <si>
    <t>00026b52b8b55725ded722b9029a121ad5f0018ca67125947fe771f8820ac2d3</t>
  </si>
  <si>
    <t>000c1ad137dd45b0af32d0b613a0e6aa474fa4bbe9f215530b6dc146fd4c498f</t>
  </si>
  <si>
    <t>0001cc7df8bf7b56ecef09d2bb5777eb7040147952056b9af9f119a3ff9cb3f6</t>
  </si>
  <si>
    <t>0001ca317900ca67d37f17c98071fc74a428f8e1a074b68f0b88e99a3bb67ef2</t>
  </si>
  <si>
    <t>00059c72a37681901896269e2668c7dec772cfaaddf7e7a285ef0db86cb6a24b</t>
  </si>
  <si>
    <t>000be69c527f6ea11844e57711cc4614203487606b2ccf114623c8918a8cc65d</t>
  </si>
  <si>
    <t>0001609add0d02a01074a9a6a6e34175c5a8dde8a920ca040c8404f89a29a76a</t>
  </si>
  <si>
    <t>000154767891fab272ece19c24c44062c374302410ae7f04333c80ad5afaa9ff</t>
  </si>
  <si>
    <t>0004d88d84df878854819d032ae8167f8145af38fdfba9d58328aa3f53e5948a</t>
  </si>
  <si>
    <t>0004e79b3ec1068c921e3f2bdb56d9425b3da9ba44be7c7ed89128e0cf8f36f3</t>
  </si>
  <si>
    <t>0003ce135024e4843ceb1d947830076c84587b6198bfac45f5493179b108dbb6</t>
  </si>
  <si>
    <t>00011111e421a6c781a27fd497a88263df9b073c34eaff022e47d164d4e94548</t>
  </si>
  <si>
    <t>0001b920d4fddd3062c08297871ff9218048da24efe4dad8ba7955af09c7f6b0</t>
  </si>
  <si>
    <t>000483a6832e3dd7be8f183dee8a4a2c9546c53ceff319fe97b505c329cab01c</t>
  </si>
  <si>
    <t>000de3018cffd96af590ae445b382ab41aa46e24b60e19375f90f8529718914b</t>
  </si>
  <si>
    <t>000ec5194355a2c6cc4a5bd84c592eb882792c449b38e4841d91dfe79a728379</t>
  </si>
  <si>
    <t>00088f94bec404514b59a8a0cf8c5c10509be46fa0dc6e26e2f794604f17e8a3</t>
  </si>
  <si>
    <t>000142729572eb24a964a040683fc081da0a0852a877d1fcf7de61a2cf308709</t>
  </si>
  <si>
    <t>0006840204cacb5dc54f4c6a32308d8f5082fe8d903e824220136a3ced938541</t>
  </si>
  <si>
    <t>000525a2c487c3487db876877b9c364ccd61cc2cdd14a74b50a474582a8a3043</t>
  </si>
  <si>
    <t>0006fc3ae0be5dbb27eee058c6163d2f675eb2421976f728ce6e82b09acabb2e</t>
  </si>
  <si>
    <t>0007a94a144403b4321d716c49c0c33315b543d6d3020977c07c0c4600c585e3</t>
  </si>
  <si>
    <t>0008c38b6595c1012c50ceb3a000d40d70110295f52a3d23f20ccb173e7ad1d9</t>
  </si>
  <si>
    <t>0005058f271b8da25119b6c38c00bb421a1c52a5b1403b62c24d343ed8d02f20</t>
  </si>
  <si>
    <t>000c0254a111e9ee24e08114cbfe546498f75b97fa14ae899543877fa7e3c2ec</t>
  </si>
  <si>
    <t>000aef8c93f81f77b78f6121ef5edf0f177933e262b105d991d4c500c34b2402</t>
  </si>
  <si>
    <t>000a59d6fb2a9725acdbb92ff62a782ddbbd85c4c48e2cc2f56e853cb5111687</t>
  </si>
  <si>
    <t>0000e98e3ceadc081a4f3685689e9e44e58e1300d893e38ebed31b8f120465a4</t>
  </si>
  <si>
    <t>0006085876eda12f8a69c8813bb6ab09876ac244fd4019b4a0e93efe2b5c25f7</t>
  </si>
  <si>
    <t>00041f8ed258adb60a842cba2bb81a3a70108e26106fd4c0bb435650ed816f18</t>
  </si>
  <si>
    <t>00020ccdf579560ba47d5bbe3f5e1f6889564db23797f4f8629745eae47411e6</t>
  </si>
  <si>
    <t>00036180e9b7ff52dac738685066847c621c9455e08634eaa3084fcecd8286dc</t>
  </si>
  <si>
    <t>000ec1d2e5bf04d5dedfaaf65f3edabb47a96d73d1ed45035516c424cf0a4e25</t>
  </si>
  <si>
    <t>000e10b4ea7630a02f57d2850bf675bbc5e42921fecb0a6dd2747f68becfd353</t>
  </si>
  <si>
    <t>0001bf3f0a0aec9ef4d6060f1e7f5f7b87827c6d06cd59c5821d9f4031ca71cf</t>
  </si>
  <si>
    <t>000477eb1de106ebb54befbc4fd526d18ed76ee0028abf6e936cccd762e2447c</t>
  </si>
  <si>
    <t>00064998e3d020ef8dc351529b7bbcae98181c1268d3d5f178f92801e27f22c1</t>
  </si>
  <si>
    <t>0001a9c49c6f9296fd49c15582e822271a042e1b56b38da25ea9222983f291c2</t>
  </si>
  <si>
    <t>000ae1366573e2c8db22fd2ba2f0b9fcc62348daabb33ec1a5ca71027e899747</t>
  </si>
  <si>
    <t>000aca9449dd5703c5ffb0819a50e5689474651b4533462246c61631e6a30c38</t>
  </si>
  <si>
    <t>00091b8f2c7cf0d8dbf61b0c0950756ef836a74c2d9f4eee1a541ef3b0918540</t>
  </si>
  <si>
    <t>0004d3937c83d27037b0ce5e8b309fca10bccbf5bb3edf025433991f8b74a451</t>
  </si>
  <si>
    <t>000d34a55f74a98cb52c5991d0f26531b9ea8f3bb62937bb633ccc20bc5da5c8</t>
  </si>
  <si>
    <t>00098d1a5b1ba89718767da5b4c37860758cbfff06facb63e12f64715b9e59d1</t>
  </si>
  <si>
    <t>00094bca46074aa655ef0e27947ccbc006a08a267ca93c479dc54b34ce050bc3</t>
  </si>
  <si>
    <t>00014e161d1195e5b568b7677b6f7a063de38a53abe9f80fc62e01494c763950</t>
  </si>
  <si>
    <t>0001b854832b365d1bb802d1502a63e34f6f09014bd3b87b5b9beae5e11eab90</t>
  </si>
  <si>
    <t>0005318d82bd7b4ec68da5e56daa60524e4f37f742dbcb97573f4acf11815c22</t>
  </si>
  <si>
    <t>000d1cc6f8dabf1bec48143f92db1e7f2d86e048cb0d5b6fc782726eea27c1ad</t>
  </si>
  <si>
    <t>000fed543736c7cf6c7e629cf0d6e228c0cd720b5a6630913fc00415d630e55d</t>
  </si>
  <si>
    <t>00032f3ba81bb9bfcd92cf286a32c25e1b27208c02d15d7a09fa5d7edde489e3</t>
  </si>
  <si>
    <t>000d91f3c6ff1cd00e90a9c7b33b13c1e5800789fdf4c2cd4fe4ff0a0c85e981</t>
  </si>
  <si>
    <t>000d852f25fdbbfd5e3b324b3ba075eb359333280055177810251d49c8b8c1ca</t>
  </si>
  <si>
    <t>000a8baef7929210c6515b6a796645383e597bd41ef06f16908ec167560f6259</t>
  </si>
  <si>
    <t>0001f91b9421101429636c0db68bad26322e2822d3e28f5d3a36a5783ff134ba</t>
  </si>
  <si>
    <t>00077ed02b03293a15c86c3c5df74994ed700ff3f65c0a91e30a30fee922bc1b</t>
  </si>
  <si>
    <t>0005f417a7578ef0d1a23efca413e4d9378dffbf0bce88ae7615d5268c10d8e3</t>
  </si>
  <si>
    <t>0009429225ecf137a85bf52f10f52ad82ada21461b077e729f825045fc27ff10</t>
  </si>
  <si>
    <t>6000x85185fe3A4e36079818Ba1d12705A9B6898997040xa60AdD2af71a4f50b3F94509E71a1e9DbDeA5dDa1777132unidade1090027</t>
  </si>
  <si>
    <t>000bc72947ade9ade6e7d7c542c362b6774d756cda64f154def4ce7e2784b0e3</t>
  </si>
  <si>
    <t>00ac1bb7dd5d06a8d0ec6e79b0e2ac098d2e9a2732272bcac81f131d17a732c1</t>
  </si>
  <si>
    <t>00342730a6dc27480362ca44f80d0a8da7f3c26e3f2a0ee961bb55dd8ef4a01b</t>
  </si>
  <si>
    <t>001ae953a03d04734b1734e56e74a596878a1268c9e2de02ed36f6550537f6c8</t>
  </si>
  <si>
    <t>0016db5e01ee0cc693354a37baf99a9f49452b784f3bab27c403e446dfa6a987</t>
  </si>
  <si>
    <t>00e2475ebacc1670facd9fa489b082ee914b88bb542432e561f2b4dca697c3b2</t>
  </si>
  <si>
    <t>009e00c319c2ecd09c54a5c2d59046191593f5c588dad166351f457ba2bde130</t>
  </si>
  <si>
    <t>00b919d53a28badd59d46a5d67110beda08f90952dd8f188dd87cd86e3a85272</t>
  </si>
  <si>
    <t>00115741a36c8220fe39368e8395b77d7deb9c2344448813a34129c504d02e4b</t>
  </si>
  <si>
    <t>008bab93a060e1b5d58f4cf2ace7cf263aa924c45323770d9125a929125e4b7b</t>
  </si>
  <si>
    <t>008e8aa88e5faf4d40683776e89cd6d94546f15946c677259137cae85a77c4a3</t>
  </si>
  <si>
    <t>002d74aac80bb9ee8645b98ca44da1c79a5aded01d50f78255b42b1deaa64b5b</t>
  </si>
  <si>
    <t>0046f67f239f4bbaff60f29068b46f932264d8c0fa0a17a5741b32434e8e29bd</t>
  </si>
  <si>
    <t>00dd183f630b2a394a4cfd11f4c30e8bc00a5f7920ac9945901a4f4e146d76b9</t>
  </si>
  <si>
    <t>00b682fdc0adaf3bd3ee032260e36c177d1f9b595e31bf9f7ae01b9dda1a698c</t>
  </si>
  <si>
    <t>008699045c77555e4a128af074facf1ff03946f0d076febe2c65ddff09592ed2</t>
  </si>
  <si>
    <t>00e52cf9d9bb32254161547dce1ae85878264f546e2d8fa26dab35f899cfd4e3</t>
  </si>
  <si>
    <t>0041257211da4d4c0a76b0587f500e44f85a6653c058ffe08baa1cb93901ace8</t>
  </si>
  <si>
    <t>00a7e4242ce65163caf0462cd76813c6f01a2f5d3ade47b60554eea8c1cfcb3f</t>
  </si>
  <si>
    <t>008ea2015fd9fbb2d8caa5bde3759ef891cee2847ac3b7857c41593d67c4677a</t>
  </si>
  <si>
    <t>00b6a27bfff43d8d57bfad5106c68868c575305a33d5a1754f7c0045aa057bcd</t>
  </si>
  <si>
    <t>00ae8f02981b5b229d023f0447a50c0a096115ff6f759d3acc461abffc6402de</t>
  </si>
  <si>
    <t>00fca6041005e1077425e22d5bb9389fa1c6dea803249dbd1d6aef85cf3abe2d</t>
  </si>
  <si>
    <t>0056f8c5ff2315f4090535392f2a6591df63766f35990de52d7003c65513e306</t>
  </si>
  <si>
    <t>007178a79d64a2da1f0f75945de4750af4420d2310cad5a50859e3e21703edfb</t>
  </si>
  <si>
    <t>002be3f2c527c81724305ff3f155ceefa75ec5f5b89f3c75324d97e1b84dacac</t>
  </si>
  <si>
    <t>007e2ded19317f525621dcb50bff801766d0e2cfe162891a743f5b7711553126</t>
  </si>
  <si>
    <t>003f0b78c46303bf782fce6f409ffc9a6e820ab0a66c7649810552e6df313367</t>
  </si>
  <si>
    <t>00267bc91cd6cade6d34acaea2f2abc19be774ce79b491f6d66ecdafec57adde</t>
  </si>
  <si>
    <t>0017a18c830624a22781f495f5e05f8fcf916d56df51b4303f38203827e78ae8</t>
  </si>
  <si>
    <t>0097090b1695d0d07b6626e31fedd01e7633bb091ebbdfdaa9570953f1eda634</t>
  </si>
  <si>
    <t>001f6ba12f55ed33fe097a29ec2dd961cfb3d388b8a88b9cc41af22f986c4c01</t>
  </si>
  <si>
    <t>00c23f9eb0f2eafef49d0742dff20049ad18b4caf61680a892362d02bc67679d</t>
  </si>
  <si>
    <t>00cfddc72c85f61ff607012963db4924ae379c0c2b15e41349d8ecc82f320b1c</t>
  </si>
  <si>
    <t>00ee0daa663057fb09dcc20c986ef2053eb6ace837b9a55373ddc57b122e6494</t>
  </si>
  <si>
    <t>00308826a32482e063e891dd78c9fa44f74499722d48712c0d5245fb0c8d49c2</t>
  </si>
  <si>
    <t>00b9ee294251a91ba0b856344e767d7393692e14c294c7b09d2cfdf40a170eb4</t>
  </si>
  <si>
    <t>0097e63d042d1148c8b9334e5c8c7ec8c268fb3b4312b3943cb00e68a165eda6</t>
  </si>
  <si>
    <t>00ddff42da54c91474aa946565a6578cba9e5518e920d5037a4d11d60ad006df</t>
  </si>
  <si>
    <t>00b9ff239c1d57c954f4b59719cd15d9e02e907e4192b7ecf3b6e374f090b17d</t>
  </si>
  <si>
    <t>002bb0b34d193dc3997b0a948660a3ede77db4f14be5a107ca81f8d26528d25a</t>
  </si>
  <si>
    <t>009617d5d7805b823366d98390e57b540412029329c1e4ff5381cdc4dcbfd229</t>
  </si>
  <si>
    <t>00920e6a0e66867762915b6d790aa08d01282e3135fe23bf7fc1fbf93ad0b4f6</t>
  </si>
  <si>
    <t>006d2d03ca86ee14ec04f70ced8ef7bff551f23f64d9cd04e7e1e33393e58909</t>
  </si>
  <si>
    <t>0011f168c9ce0191d1dae36b0b5cf5d019554f6f20613a1ea3490d6020921c2d</t>
  </si>
  <si>
    <t>001177fb89d09ee32d8d4f319ca4124c0f03da68b7de5515f3508a3d29cc9891</t>
  </si>
  <si>
    <t>00aa6372e88a46c3d434a7a9868224632dbc651ac9b6236a815b72b23b7e7cb6</t>
  </si>
  <si>
    <t>004b2c415bb77e73dff00b906cad6ed4453afd269d558068861fec55d003ca7e</t>
  </si>
  <si>
    <t>004c8925cc1cdb41c329f40d65d43d99458fc16d1aece57de6b7a61340efe134</t>
  </si>
  <si>
    <t>009464f8243a5d0e265fdf4421d50af5eaf977e1316651e73e6329f88fd166dd</t>
  </si>
  <si>
    <t>004f90239feb2e20df38fcecdefab5d201b1c1ebb8b1627104161be2782e3b2c</t>
  </si>
  <si>
    <t>00cdbe85bbf242138d2403a4ceac9a8a9f95e926b7cf7f501d2e563951c19633</t>
  </si>
  <si>
    <t>001d81b6e94d428cc0b54a51253f7435b36ffb501ee5e5bd3acb899029562eea</t>
  </si>
  <si>
    <t>005dc1e0899796874c7d2098781196a56a1e6ee0aedae78c8dc1f0f2bc57dcd8</t>
  </si>
  <si>
    <t>0014ca63d61977024e2f63d6ac4c046f2402ae5914a25dde8bae6c4bbbd8e263</t>
  </si>
  <si>
    <t>0032b37b6929037f3a17eb79a7c93baa80744d3371438eeeebc4ab24a9e0f6b3</t>
  </si>
  <si>
    <t>0072ff572cab0ab19359fa32801324a84c578d60b5612dbb13b46fe312ce0d0e</t>
  </si>
  <si>
    <t>00c9425a893737db9d8563887cb99b4fbd65d7b7408cba2d62932256ee814f40</t>
  </si>
  <si>
    <t>00d0b2b36ef84d08f958cf702cfb7dda585f489f83aad5e028ac340db45d8ee8</t>
  </si>
  <si>
    <t>006822f1abe281f9ba09ab3abc44d2c7db1b1fb8ae1502828577d01acf2825a6</t>
  </si>
  <si>
    <t>00d45d3e87c40af14c2ad084e09a3d3cbd1a63a0299489c6797da733ad02f1e3</t>
  </si>
  <si>
    <t>003114a6867709a89aaef5b1791124f8aecabdb51b478de2599c6a35ac3d2534</t>
  </si>
  <si>
    <t>00edce9c121f0024f156851c6293b9ad06ac0a8dc79b3b82196eabc81f524ace</t>
  </si>
  <si>
    <t>00455f272061b1b7f7d39b3f4fe7dcc6e4229f42f310cdd94e04e495acdc2785</t>
  </si>
  <si>
    <t>005a69a16c470411f7cf493979c3eb8c87e7423cd9d340238f47068437265874</t>
  </si>
  <si>
    <t>009ca62ac95cb123c25ed72a1c6962a4671f381a9af11bedb48d13ea5662d66c</t>
  </si>
  <si>
    <t>005a5df568d04acb1ecd8b39bf8e5086cc17a94b0f67eaa5af21b0ae7b9a1cf7</t>
  </si>
  <si>
    <t>00e66ca21d65bcde0f424d14ceb4efcd6aafec53f7cd7d5f95bab7a912a91f5c</t>
  </si>
  <si>
    <t>001dd5d2ed237e5887fbc0631cef4a5aabca9a1f4e7c03da37cfcb5919b62b42</t>
  </si>
  <si>
    <t>00376c866fefb18095cd0eedaec4b4bad23bf2e3e8a35fb130981331af526740</t>
  </si>
  <si>
    <t>007bfb60e53ad0253ef949c0f99054b4b9958c2135a69643c481f3a5ce52b915</t>
  </si>
  <si>
    <t>0046f43c458597d50af93b192744119ed3884afa446f738e54f22945bc132902</t>
  </si>
  <si>
    <t>007dd8413ecacb44b0f919a5ac4af17960d7266a378432a480918fdd02ca2c47</t>
  </si>
  <si>
    <t>00ab221769b16d173bc53c52604d2a809a79e55613bd7b8d6583534540cb7123</t>
  </si>
  <si>
    <t>0075e37d3c26ffb82257ff487ebce7088e3804b50042ede849bab4ea86c5e01a</t>
  </si>
  <si>
    <t>00ffd32e1058e1d66a60ee56ee6d4fa4e2d41d8f0c02781a35ac880c84355bfe</t>
  </si>
  <si>
    <t>004b017259624ccb69428c5d107e7fbf4a5563dbee41d0e6884ef0a107aad79c</t>
  </si>
  <si>
    <t>005e1157b5ee1df91bd9adb4bdaccd00129945a30d70cdf38b44f615ddc129fa</t>
  </si>
  <si>
    <t>008ccb6c65ac3e8d3e6a65ec27081648e2073f83c804b9fe8aa3c8684120138f</t>
  </si>
  <si>
    <t>00efddfd5695b2d54af490edcb5cb96ff2038b63fef7ef178c3973501222e6d9</t>
  </si>
  <si>
    <t>002247f03266a8d923d32be75caf7b9d495328faad914d5486088fb702a40917</t>
  </si>
  <si>
    <t>0054967fcd25cf38710cadb0833b086f16c84dfc9aac7226138453fb9ba6f7df</t>
  </si>
  <si>
    <t>00f143d2c372a4dcbd005aae905b56a6c73ed7c264d6f3189388052f7635a8ca</t>
  </si>
  <si>
    <t>005c5fe3a0d06f268486f19a462c0a0272a850abb73f257615ddf6026e373603</t>
  </si>
  <si>
    <t>0083b79ed92b414050363ccdfb60d8e4a4497ac4817ca08ac89654a9c6823a33</t>
  </si>
  <si>
    <t>00f52f08519f6e70d1abdace0da62a28f8a9428b0edf53953aaea5b49ea7835c</t>
  </si>
  <si>
    <t>00d4399f86596c5d046fcc501b7b804316bb6d38fe29f8c226ea633902bf653f</t>
  </si>
  <si>
    <t>009d9b72783794219afdda2af0adfd9be2f076b548ea91c7623b3375d932a8c3</t>
  </si>
  <si>
    <t>00a1de37853f737c95c451df9920d27e919a4c30fc82840f4406e6617d4e0f28</t>
  </si>
  <si>
    <t>001fdd0e9e6d105a253998c4e63ebd3c27e15671a1c4beb485f40ecc32489444</t>
  </si>
  <si>
    <t>007971744d29d53e6ea2eb86d3cd908a7d986628dbacc16fd1796e0269994c89</t>
  </si>
  <si>
    <t>00c6f8e308549f7906c10f7b56ab843ac90ca4344c81b7e74a8fb78a9c3a4850</t>
  </si>
  <si>
    <t>00b8072499b85eed18482ca4fc5720064fe8caa14ed5d34cbf0032f7c3645038</t>
  </si>
  <si>
    <t>004f5e0606fc499e69d6b5947cfefbd0849d7f0eb3a06d09d25f0cb268b9b75f</t>
  </si>
  <si>
    <t>00bb6ec57c9d328f93ed75bd8454e7365d28151a43e5bf5ee7e0c325842b43cf</t>
  </si>
  <si>
    <t>006cfbaa9c86cdd81cf4fd37720babcfd9477f5b25fbdc03819535b170bd37b1</t>
  </si>
  <si>
    <t>008b4c960e14ba81476b0f98e0fa0b6423d0f27268ce52fc71045abfd2148bc9</t>
  </si>
  <si>
    <t>00aa0424fff8274b9648c5bf992d59eb94f2c4f162ae3d9890f7d8c63dd08844</t>
  </si>
  <si>
    <t>00250f042bbafc65f607ac7ed0c0dcc37d5c2a0e320ed03d6992b1eb48193ec5</t>
  </si>
  <si>
    <t>00cd924c3ebd86d465ff4147c8c6fc858d5b0aebd19959eee2e4dde2634498d0</t>
  </si>
  <si>
    <t>002a66bb33fede167e652b5b6f28a55e09894c3e4cd1925a0749f40760e744e6</t>
  </si>
  <si>
    <t>009146f461bdcac4d00296deb69cbb088c42c5cb7472d9e0d5f2ba356cce213f</t>
  </si>
  <si>
    <t>002097f1b313b768236ecbed05b4ade41e511a44eee3c761fb2109da82e05784</t>
  </si>
  <si>
    <t>00715ea5e76e1c8847b4d6eee748c6ebb8e63a58098186b658db1fa74b343520</t>
  </si>
  <si>
    <t>003c705a4b84e19b3606e4a0fc1aeaac7911dd309d4abcefe9484ad563cff19e</t>
  </si>
  <si>
    <t>00bc8701d2d1d4d2e9dd2285d294fd2b4c54a837a18adfdddcd121154567ffd2</t>
  </si>
  <si>
    <t>0074f37b42a2b95f8ed3e5c7ab513415362765843d78beb9a8ee0b6a66915cf6</t>
  </si>
  <si>
    <t>0028294055de2b2d01f47cb5118a6f7c01d434c0dcbc28a1220af2b60a26e18a</t>
  </si>
  <si>
    <t>00da7a753eb7ccb9e2914bd8d0f029a8c2dfeab3792526563a36a70617ad087b</t>
  </si>
  <si>
    <t>00a39ff74ba009e8d32a744a91aa5a1ef64aad490496229cfe6ddefc37bc2547</t>
  </si>
  <si>
    <t>00e8a103570f8cfd4ccfd190926e8967f7f748333824a1b0dc42b6f7052d6ddf</t>
  </si>
  <si>
    <t>00a4203679c38574be28e9a3cec9db4954b070abd206a1a56ad7c21fad136e78</t>
  </si>
  <si>
    <t>00e567216e83ddaf7f902b1456a82df96632de31dda61a1d4fdc16ce02b2f18a</t>
  </si>
  <si>
    <t>00c1900afd9075c9bc5b9f75f82a96118c11ef2c4339f14f1b6fb4d57b948802</t>
  </si>
  <si>
    <t>00dbe5308caec8150ff53dd44449d496e46378b4e926e9d9e850ece3c74edd9b</t>
  </si>
  <si>
    <t>0035f9beb3556f579cf89807f54a21d61ebb56cad2229b70c0bcf18acf76b79b</t>
  </si>
  <si>
    <t>003664189465d1ffa483edcb1b50380bf180d2d14f93c4a1d25ed5bf86627fb3</t>
  </si>
  <si>
    <t>007b5889b5ae6f7558a69033a8eadd4b559ae5061430275a9d23b8465aa0f6d4</t>
  </si>
  <si>
    <t>00f8a72ce33d53cf1a6f82936b844f64a7cb80de9b1a10878b0da36f673593ad</t>
  </si>
  <si>
    <t>00897f404c87c6467dd4585f40dbd872435e16a8ee152095a87bcbb8cbcb00b4</t>
  </si>
  <si>
    <t>00316081aa2fa47887918079f53936dac350d94f1c8d27bf7755eb17bd3f05b5</t>
  </si>
  <si>
    <t>00bdd220010b285a0b364e2726b6b5b184227e642b47008d29864f0da53e3e9a</t>
  </si>
  <si>
    <t>0048e4c5bd6f7c0098946d6cf15712d35d5474f0beb1f7e6593fadedc6bfe031</t>
  </si>
  <si>
    <t>0073cc8cfb8d19102b2ad0c9b5f8d8cf62975e17b76513cefcbe5c9f47dbda8f</t>
  </si>
  <si>
    <t>0029afb4ae0ce7a5dc743d93ea267f7ea8ffd29e27908c6434e6137ee6701e7a</t>
  </si>
  <si>
    <t>00c4f34be74a3185b29c50f86a06a14dad369abaaf46f54f9936ccf1a29c0515</t>
  </si>
  <si>
    <t>004714c19ab2cff10f2e15a6a3cfc3e2222fdc5d0abe4b997d36aba6bd04318a</t>
  </si>
  <si>
    <t>002855ea066b15470ae1d38ec2e60d1ac5dea5329b13988f2193e52b7c0429e5</t>
  </si>
  <si>
    <t>00ebe562997af2f7fed7608129e3789d2e6316b16d5ab89a460c5dd81de55261</t>
  </si>
  <si>
    <t>00bea37fe67ec6d6399e6c27579941429cee0faa3c2bc4ccc78225bb406c1ca2</t>
  </si>
  <si>
    <t>0097a2ff5171546d26650879ad0ec1cb7191aeee304dc61ab9dc92360b16a6d4</t>
  </si>
  <si>
    <t>00ec3b1fa3bcd3e221c6e5efcf4fe0497c759d575a28ef6b2f4187d6783880ef</t>
  </si>
  <si>
    <t>00c8a3e87f2ae161bfafa99fe564e02d661c0afa1d91c9544d13ef64d5852853</t>
  </si>
  <si>
    <t>005fd9ef5003de2ed6aaac3a34b2cb51149d380ca568ca9e82610caaf791c8b1</t>
  </si>
  <si>
    <t>00389da78d33c2e8624678f6beee8bb19c428feec32bfe6bbde5e6375f490b9f</t>
  </si>
  <si>
    <t>0056190033832be2ad58b3c8c153644a157cc20c93c122ce905f1efbb9bbcd38</t>
  </si>
  <si>
    <t>001f7490175f4f420147be7c5ac5b7361f136efee3e20b2ceef3ba44b9092675</t>
  </si>
  <si>
    <t>00dbfd167c31cb0a32a85e17bc1da58f515e2cdb2aa93a1947e3e07560f6e526</t>
  </si>
  <si>
    <t>0016e40aeebadc6f0eab2ebf2fb15aa048794130c4c1076eed9bbf3dc981890c</t>
  </si>
  <si>
    <t>00af9efd8110264786bd5b553f560ba0f8596635f93d23fbe7d07b3300cbaafc</t>
  </si>
  <si>
    <t>004fdb91c050cfdee33ee5d98231be20cd3f5116165e153624d3c55c9b5da1c4</t>
  </si>
  <si>
    <t>00e61751ea865fefa67e262603cf41255c320e869080e8fe11a08c2d5714b0b8</t>
  </si>
  <si>
    <t>0046e1996b976e30b0692db3fca1f50797f2bbc56848d949a40260049cbc2121</t>
  </si>
  <si>
    <t>00ccf563762bc3d09a6bd4f976814159a3d05032ea63fd88fe021e0893f5f1a8</t>
  </si>
  <si>
    <t>001cacadb39150666b421dde9a0325fe537b72e9fc65f5c0967f9a0ea28551f2</t>
  </si>
  <si>
    <t>009f76baab56a2dd3ec84a5e5f1f5ec4a45c8f5b359f28ea77f877fa08e9722e</t>
  </si>
  <si>
    <t>0042dc6f7c56ac59351e4351257d85bd8695dae6d74d81f8c4941fe26b92f135</t>
  </si>
  <si>
    <t>00528570086a3a8b494234bf59108b673c8cda838ff20113b53901976a7ddf5e</t>
  </si>
  <si>
    <t>00b61940134cd94aa16b102df4f8f7e44da305446707a8e828e3a8f4914890e3</t>
  </si>
  <si>
    <t>004fd48ba2d8d640468c4f4d7d989b86e8936e91a3d6a75fa8ae229f64e579e4</t>
  </si>
  <si>
    <t>00f8a80e7b01f763818b494d02a7d3d19672aa0a0568fb1b936922f6a13ae4f0</t>
  </si>
  <si>
    <t>004d89d026db2b7dd4e9800eeed13175a8b2123f998a7f682da50a4dcfcea081</t>
  </si>
  <si>
    <t>0098b561635f2da2c7a04be78a4f97ea3db28bfa56ec96ed29d31e8b733e854f</t>
  </si>
  <si>
    <t>008f1d7aaa0d8e4dd418d60ffd111e23a0dea0d51e6aec99041d920b3313abeb</t>
  </si>
  <si>
    <t>00b761f5171a2c98b2e4549693b1c2bcbc2479f9ee806a34d2acf335830ee9f7</t>
  </si>
  <si>
    <t>00bac0c715c351da6858ce1289e07f064d533e7a223c81aadc2db1e45d0e7ddd</t>
  </si>
  <si>
    <t>009c7cc943ee36f401cfc3343f78d6203c5cb4e77dc80e062ba0f9a129eacd36</t>
  </si>
  <si>
    <t>0023ac54c459a9e4d24e3c23bf42d63ac32ba50fda56ff81822860e62aa9aff8</t>
  </si>
  <si>
    <t>00222cf4235e110219b88ba6e31c75c952a71417d62b33b3b679cf03770c2933</t>
  </si>
  <si>
    <t>00c7eeecb658f193745c97318f13e6c72c2772a7383f9e63a9ab6c9297f083ce</t>
  </si>
  <si>
    <t>0010e4d7539796941b7762ec9be68c8a980ccb7fb2ac6e27b79960f4d7291005</t>
  </si>
  <si>
    <t>00dac9732dcc8abbc2c479c3fc60cef9c5e3fb816c2f68eb6a20aa11f22851c5</t>
  </si>
  <si>
    <t>00830948d4041efad441b4cc22f1b2c7448dfaecd327ae83307c181dfa2f8600</t>
  </si>
  <si>
    <t>00b4a5cc15533c725dab2ca80665229c0b8abdbe00d6ae7e79ed0b417952307d</t>
  </si>
  <si>
    <t>0019a6cf3e0021b49de4028c289c0c43507a80ef8fc0f3112f9642a5f005bf67</t>
  </si>
  <si>
    <t>006d54e42d9c43129309267ceac2b7eb1d265a0b1881e063d64b8367379e5ca1</t>
  </si>
  <si>
    <t>00e0edfb89336bff0c8611db692f0ae39e388ec411858a73a96e15b1f0a03d2f</t>
  </si>
  <si>
    <t>00694a6f41f5f89bbcdd80860f0ef7b6c3b4fcd4f4d16b17df87c257f28c0a1d</t>
  </si>
  <si>
    <t>006954873de7021cb4fcd216657f78fef605cc2f4aff09203bc1dc39b3e194d6</t>
  </si>
  <si>
    <t>00f028a4093c8135f219d0618135d6eee90076d91dceaf14891389d2411c46ed</t>
  </si>
  <si>
    <t>00a5cf33b3c8d9eeb82d05c201268c8413e43d6de916a2ab2e7530e1a70871fa</t>
  </si>
  <si>
    <t>0033421e111b4ec1aac8c972fca7da51f628adad2596ca5fad28d2933959b227</t>
  </si>
  <si>
    <t>0017138d490bf9676405978adc1954a5702ace53be43db61a0459f2965061826</t>
  </si>
  <si>
    <t>00899fce1fa27e1743470f1d67c48cb2580d414412c61f6597afdad337e7e7f8</t>
  </si>
  <si>
    <t>00be1b0e87c71707bb62168b7dec57c557fb4f7649a40cac71e4101d694ed068</t>
  </si>
  <si>
    <t>00472b708a9a8200be9aaaec00ac76e19cff216408dc94fdddc2a573337f6396</t>
  </si>
  <si>
    <t>0095ce83c286ffccd0a00dd6f1b32cf14c28e3455e69884098658d7391bc20af</t>
  </si>
  <si>
    <t>00eb8b9ec4333fcb0367f91c1f48362e533c9428672143e6d400887c9367f288</t>
  </si>
  <si>
    <t>00960c4d915a7ea74f1306637d05cfa09820529175fc95f938de41af55ce9298</t>
  </si>
  <si>
    <t>003aac72b8a764203e415326e4f7b6a93e75b1a939f1cfeaaaeabfa5d321aaa7</t>
  </si>
  <si>
    <t>00a884d318f7fb35a90e5f415a79684bd695b3309efb6a3e17a647d706200eaa</t>
  </si>
  <si>
    <t>007f38ce3d0bbf1397dc888d72e37070f38b3da3eef14d86ca99ac1c4ddbc185</t>
  </si>
  <si>
    <t>0050c0df7a93a06e394bee302300c455cc0562b720cca2223c2787bb3c661b2b</t>
  </si>
  <si>
    <t>00bb492acf957b995fdfec28d9596cd9a51283d2367ccb932c302e7781ae6285</t>
  </si>
  <si>
    <t>008f8d6aa88c9485b28978d814bf5d2b6c3b50935fa59a6debfe75d2f881fd85</t>
  </si>
  <si>
    <t>0071c2bab7e18234f706e4fc6acff94997c00136e92bc0428c44a14727318276</t>
  </si>
  <si>
    <t>0045e54c6b00db3d667507683078711cb4144a345cb883745cc2e3c65090d609</t>
  </si>
  <si>
    <t>008e8eb6416a01fd8245353dca24cbfc32232410d0e04ec5722c600ca5797001</t>
  </si>
  <si>
    <t>00c2c82191e29a681e5ba5ddaeda1d70a1194c8e2ba067a7c83664d43c59b409</t>
  </si>
  <si>
    <t>001e0f276ab95f8a7d3a79122e431c476c7986d4dee09bafbd483dd18107afc3</t>
  </si>
  <si>
    <t>00f0fc3dab3c79f462f1439504ddee33e2704df4240686e7772c760f3fed20c9</t>
  </si>
  <si>
    <t>00e4496f6f7ec109c4f0b756f30e6e816f90a6efed6258fa08234d930a877d54</t>
  </si>
  <si>
    <t>008026b6ebc68ac08f897bc67006f927c824eccce8754ad0b6633ecd4527aae9</t>
  </si>
  <si>
    <t>004c0deb5e8ec79e726492de26a537bd7f4cb08649cd2dd4a1c099fdc5ec41cb</t>
  </si>
  <si>
    <t>007416b6df99c20b299bb07c24e76dbf2a66995738c928df7297aa222a4d0899</t>
  </si>
  <si>
    <t>00a9155912c494cfa390314b199565ff8cb12666ace4e3b0a1219de20ddc1375</t>
  </si>
  <si>
    <t>00ad6146d95fe74445535dc0759c3a03f302c84da6b0e09cad7967a214d51df7</t>
  </si>
  <si>
    <t>0085d5ff78223effe4a0929baf81f44f8a1dee999c4728847b08829eecb7c969</t>
  </si>
  <si>
    <t>00b831c49daa6d49553c940de80c7183380ec059400ee407d173ae792a53910b</t>
  </si>
  <si>
    <t>0081704be29ccb2b8b578dab8259e913c795f27e3dd713077652fc1c90bd1750</t>
  </si>
  <si>
    <t>00be83665c2a4eb1e83d1ef98e8b365e8b125d0110b72b6e090a132de9ac3f8a</t>
  </si>
  <si>
    <t>00b01d03c4ef6a70015cff5e7c93dd331556c0f3ea544f64b376cfed43e3266b</t>
  </si>
  <si>
    <t>00412075766b79319158dbea4d6ad271d7af80e36d537b1fe2fee7bf32b1fb46</t>
  </si>
  <si>
    <t>00e6a2072c0a830d9170f4cd69db887f175cf2372f49534f5413a7608aee146e</t>
  </si>
  <si>
    <t>00e4cbb8f43aca344c24e179ef8d3a28f875823e802031f7fe1d6e7b81c18d58</t>
  </si>
  <si>
    <t>00e253978eead4d2aed4e935f866dd53b26cf6aacca409457f18482ae337589a</t>
  </si>
  <si>
    <t>00beec0d0b860b9cf8646f92b5d41c6e678c9321c5865b5a2231fb446a5c3f54</t>
  </si>
  <si>
    <t>005bf53f4eab5e7b4a8472cf9c4a82b970a0ddbae42b49ed612a41e02c4a9fee</t>
  </si>
  <si>
    <t>00b51140737c184bcf8a3e1daa8bc8373dd6b936159d51e856e038540045c53e</t>
  </si>
  <si>
    <t>008d4bff828356853eaee89ecc06c5fdfd8a6fced538301192c2ed19dc8250b1</t>
  </si>
  <si>
    <t>00e82373307544d674588890d5c1ab829758f97f212363b1c4725e5c0622bf7b</t>
  </si>
  <si>
    <t>008ea7b4bb45cca1b46a549e56133eabe19cdea0d83612c5845d45d0b9a93f5d</t>
  </si>
  <si>
    <t>0040601a16edc2473cbf313edd0bb2d4a58aab13c999a65219631c3ee324a6df</t>
  </si>
  <si>
    <t>00a7bf112e12fa5f33d4938400208f715b58079786e44e17faf7bb3968900621</t>
  </si>
  <si>
    <t>00b8b8bcaa591932690ebe0a4126b715765c964a697a626cfd966e4ab2e8dbd7</t>
  </si>
  <si>
    <t>0080b064a8c1d39fd050ad3d19448e79453fd8cc1274c406b3d1355ddf136f88</t>
  </si>
  <si>
    <t>00321529e2e0cdcd3aa7c450d5d519f7ff7ea9f9fb211ebe999298760168906e</t>
  </si>
  <si>
    <t>0066f28568ab3bede2dd755b406aa7abf0955497a95b2f1f251508877dcef8d7</t>
  </si>
  <si>
    <t>00fb56b210247d9fcd9c8a6ad8d3958d3e15675da4cd3eaba20fc859c3c14be0</t>
  </si>
  <si>
    <t>004dc336848deba887b9b454632dce1db714d700782090bf3536080089a4d996</t>
  </si>
  <si>
    <t>00dc0852cfa8ae2615cf1c8f78935ea530d9f63e6ed40f604be96e59eb482115</t>
  </si>
  <si>
    <t>00f782c4137232612986157241af414d02e45a352faaa8f0378a84f62a1b17cf</t>
  </si>
  <si>
    <t>0084641db6890aa9a0ee1613b09ab7a35b0a00ac431d22c8025784927de60c70</t>
  </si>
  <si>
    <t>003e530406273a7c7557dc6538e784ef236925fdc0f7adf3d8931440cac15811</t>
  </si>
  <si>
    <t>00bbb0f745cd4f5718be41faa7496500219852c6daefdb7f2a93f51b9b9933a8</t>
  </si>
  <si>
    <t>0087d0080c89232505ce7f850d1ac1a6940aee098a58ef0febbe18111e2f07d2</t>
  </si>
  <si>
    <t>00c9d0f19ae11b2ecb32e991a097f10902d3f46a0515c5cdeaa224ef2313fe73</t>
  </si>
  <si>
    <t>00eb1c03ebc829ce4b7798c3e73f902d8d0884cf63720b3d09ee7158185eaf30</t>
  </si>
  <si>
    <t>0026dc7a17837465ad3a4bccb25f8b9a4f8b984d668fef59addb8c63ff64c49d</t>
  </si>
  <si>
    <t>004da7d224688a61985eaccde8b9dda2155468595c2c45d7cd4405c20b4fabd3</t>
  </si>
  <si>
    <t>002ac5118d6d59e1b57d57f8d15272c2588b052dfd6fdaedd420a0d3e466c17b</t>
  </si>
  <si>
    <t>00962bb05c64069c7cf11d305c5f1fa05966b751f13560e24300afac6c8edea0</t>
  </si>
  <si>
    <t>0065e69304aaaa6483898d73b65ad53cc8cd41c1d3e361361ff9d927e8d3d1f8</t>
  </si>
  <si>
    <t>0034884a8897f7a471eec0f277b491e03bcbc5764af27debc9f48c637a78fd4f</t>
  </si>
  <si>
    <t>00f05c582b6a0d3ec44915b4ed71a762c98e9c3e74be28433d2bc7f05a6be7fb</t>
  </si>
  <si>
    <t>00a3e8a7eaae4ef2cddf4c7a0884029a66ae49a9e22f543abcd8f9dc3bf24240</t>
  </si>
  <si>
    <t>0041ebf9fc1dcb05245c27e66c6a8211754b76daa0543eae3788c206f070c7c0</t>
  </si>
  <si>
    <t>0027af31207f45f669d0c4adb27eab828fbd35f0ee9b4a9a961dda4ceb80da75</t>
  </si>
  <si>
    <t>0022957598d1ae710df9a4626072d3a10e5531e159f980678d1da18f34f286ab</t>
  </si>
  <si>
    <t>00e207987c92f98507ca2d09316054e1b115dcf52c4a5791d4cefb713004bbc8</t>
  </si>
  <si>
    <t>00c73f48712223827188dbab7f5bd90b2e9a8f4921fcf672dfe1a7651c6a7521</t>
  </si>
  <si>
    <t>0096562eb36b84c9a7cff86c03026ed5c7318b9ab38df789fa2b4c00cfcf6574</t>
  </si>
  <si>
    <t>00d0df67c0ca3028e146636a2f4190374c5722721a62ed7d606431b9dc549e17</t>
  </si>
  <si>
    <t>00aeec112fdee352aab547af654d799b67bfa426151d778b9b270522e2679543</t>
  </si>
  <si>
    <t>0094337f91566b1b240c4dcf928e672086844572a23e0247cf3edf790d516c16</t>
  </si>
  <si>
    <t>00c2d1c947e9788579f1a45ef1f04e6a0d3e5f7c1c4a063260cccc91f3333693</t>
  </si>
  <si>
    <t>0049593a2c83d71831b74c9dce500163aff34245d1b61a01a491b2475a7cda12</t>
  </si>
  <si>
    <t>00de7c0793fff46dbf4066b1580032ef6a88fef70d3afd64769125c3c90f8cbf</t>
  </si>
  <si>
    <t>001331d5f2b5a617965e3d37cc2d8ffbf1bc0e141799ee3934fd4bdbb4b3bf9b</t>
  </si>
  <si>
    <t>00a58ee87a5d4cb7c62125053d9fb8e9ef538481c117fafcd10fa86c4da0161d</t>
  </si>
  <si>
    <t>006fdc9592976838c5b43c3eaf5d2ea5c2103ca037f1d4174d0acdbdfdcfbeaf</t>
  </si>
  <si>
    <t>00fd53a1010aad2fc18b6355f9d537f8f0932d174deb6efbf1247706788e95cf</t>
  </si>
  <si>
    <t>006ef09972ee13f0ad878ec036b273df6f99a613173ddb22db4d8ee6f04a0308</t>
  </si>
  <si>
    <t>003c1e4f5352829746f3422d9d7880c6ccabffe7c2cd31c2575ab4b28fe65553</t>
  </si>
  <si>
    <t>00f2fb9313e101b30f21c7b41ce2328a1503a67821448538a2ad2f2dd0a15593</t>
  </si>
  <si>
    <t>0073beed9d0e16e8e77d87a714b9456a46165076f95d0629d0e3d1c7cad5a396</t>
  </si>
  <si>
    <t>00ddaf8263fe3e850a0c6d9f0fe64b4019861ce142dbc9ed5e50d742630792fc</t>
  </si>
  <si>
    <t>006b64be8a880b4af297ed332fc8786f28b9303647befda14721a8c2f3b20ff4</t>
  </si>
  <si>
    <t>00ab9bbe54ab457d10a69f8881db5e6ac085f98820ae62572d3a4611dfb4600e</t>
  </si>
  <si>
    <t>001e46b1ecacb9ce30651cd655c693df0489db8ab5f8f845275788791852b39a</t>
  </si>
  <si>
    <t>003f5c1e14677f5e88861ac4bd71ccc1f6b7c9e65d3eb4d5ecccb2f3d04b4ee7</t>
  </si>
  <si>
    <t>0087dc8f23b6cf7452fec02da1cd1ecf3ad232868dbeecca4afece21014e19f4</t>
  </si>
  <si>
    <t>00de6ea2c54d0bfa57bc840cf176a20d06cfbc11ef7b5c6369b132fafef60837</t>
  </si>
  <si>
    <t>009173e9cc7b9907abbafc3f9ee31c41ce6b77bd86cb210dbb3bebb534940d26</t>
  </si>
  <si>
    <t>00ddb3ae8583a3fce0b700e5c792ea0def1b19ccc742da2eab87b65e88cdf46b</t>
  </si>
  <si>
    <t>007e80634fab4d8c11e89552ec7cff06541769b347e82c5a6a01b01c579c5564</t>
  </si>
  <si>
    <t>00306eb79c360d457566e75c4068c3eb3e54f359807b02cd43ab66703b6064de</t>
  </si>
  <si>
    <t>0028da74591465a54e5c3c12d5728b763fbbe03fdd53bd53e9d0a3c3a7769456</t>
  </si>
  <si>
    <t>00b7b1db17dc0bf032356d29138527a6f36c41f9ffaaa8859325981f74b868d6</t>
  </si>
  <si>
    <t>007e598df22e570d82b9befdd5a0e82e6c078391be63ee6e2472402a0c6d27a9</t>
  </si>
  <si>
    <t>00e16514cb77393eec3309abbab74d51205693a298bb4e2960cf92f6dd767c47</t>
  </si>
  <si>
    <t>00aa30daf46a168dddca67e0daee6c5b9b0de7aba63c6c19003abcfcb6610401</t>
  </si>
  <si>
    <t>00325066069f4af297b99df59ef657d3651c748be7b600429e44566d35347885</t>
  </si>
  <si>
    <t>00b75aab27b534d80fb669158a355bf9710c20f57ee7459535362155682b6bf7</t>
  </si>
  <si>
    <t>0034f18771f4008acde1b2b31b929691d129c7aa8a2ed8c6485b2ea40275b629</t>
  </si>
  <si>
    <t>007b6019d4c204ba589f31807be75df83cd1da92c8ba5a2603eeeb379baec1ee</t>
  </si>
  <si>
    <t>00ea2b9489a036b43e47034e520ad479a0aeeb660b73c04cc1099d385b77dfab</t>
  </si>
  <si>
    <t>00fe6e4410562e7f48ea84cec98ee491ab0436db97e4ffb7e81bcbf19e17a4fe</t>
  </si>
  <si>
    <t>0069c39febb22cd9a16683834347e91e3282d494fce98e7185984dcef8f2750d</t>
  </si>
  <si>
    <t>0040a629a20856024bd91a16f4213175625fc7c2a940200e79fecdcaaabf0364</t>
  </si>
  <si>
    <t>00f9abf2bd29f44da20761cce70b79a0f17a09684fb5fdd4a77f4bb131fd9c32</t>
  </si>
  <si>
    <t>0017154c1b0d1737ed030ca93792d3e1a5cfef2ebf44e840fb345e338375f5ef</t>
  </si>
  <si>
    <t>0022c038c1f1301d6ef647db75742f1a13fcb2e75b0d5b5f202ee391aad8585e</t>
  </si>
  <si>
    <t>00357eb04142e457d8b88851df694d1581034cd27db39a7eb9ce7d940a4f092c</t>
  </si>
  <si>
    <t>001f9fc25fb93e84b4bbf2d3573701d6338e2e9f1ec1e6cd0216da7378cfc09a</t>
  </si>
  <si>
    <t>00fc63f53d1ca551072ddd8e3460831a8a52f2f5dcd332e5dea2b5f280f96852</t>
  </si>
  <si>
    <t>00bf2d07582e961009716fecae5fcd5662744d22ef4dc2fb904920b9fc57a095</t>
  </si>
  <si>
    <t>001c108ad1fd77aea3caac027daeb6518bf7a9728581051bf77cb19d534afa5c</t>
  </si>
  <si>
    <t>003524367eded747e2f9f3be1497274c1cc2875120e6b9ea856e4c4668f1dbad</t>
  </si>
  <si>
    <t>00c56143f3d20c02677fca8684e10635e8ffd66263e1a66f10e8564680edc241</t>
  </si>
  <si>
    <t>00ee7886084201d788807351133541798207f53cea7232988eb88890af55c4ac</t>
  </si>
  <si>
    <t>004c118ff0e655108992674f72b8bedd32c0d224107ddf4e891af7ad5e4f4e41</t>
  </si>
  <si>
    <t>0057524cc4b19779cf1edf1d2be714aacb53e2b6c2557a8c42a166180303c006</t>
  </si>
  <si>
    <t>005f5548e1a2c3fbedd9d7f015b6ebcc4d6cca11a21f8837043986a7247af556</t>
  </si>
  <si>
    <t>00d79b767af4d00d67a7bfabc7f3b259e4bc059f2379df3ea25043797ac81be8</t>
  </si>
  <si>
    <t>0045b7adfbc41d0fc8f8413ec9f1691e5b45d8b1999bbd9e05c7eb519751f457</t>
  </si>
  <si>
    <t>001399a60a816b85471056f8f3002c51852912e57b3714bee0edee6c6e9e86f5</t>
  </si>
  <si>
    <t>005008718ecd46b1befa33ca42ef91398bb8ebd21029821e29b5e546a6872855</t>
  </si>
  <si>
    <t>003d4f3411f96e1b03a538f796fa545c315e6b38dbac0e58c299a6dee7f12ff9</t>
  </si>
  <si>
    <t>0044f0ce23e2e6a0be63521699cf2ffd21b6bebbc69882e129963c3548947fb7</t>
  </si>
  <si>
    <t>00cf2f6fa53bf2b33432b61c569f7b996fdc28044179fdd3690c9205b2ac09ab</t>
  </si>
  <si>
    <t>00299eb930095d7dc86cbe2af6c2ccbafc4bd19f4bb0e726ea65a5ccb276598c</t>
  </si>
  <si>
    <t>00b9232e051f92f0d93f0506716ed948598c6b4d64f06c8ad11d3b346f3714f6</t>
  </si>
  <si>
    <t>003b9d757daa43a12596ee92feafba1e921309c7a6b47a6f9a58dedc23fcb350</t>
  </si>
  <si>
    <t>00f8a02225b0e537a6c3317d47acd08c2af78212b64dfbb6af4f9880a4f7ce8d</t>
  </si>
  <si>
    <t>00602d94db8bde76a5f87464ffb3417cff5bbd306896e9f2b4ccad16b0ef5f87</t>
  </si>
  <si>
    <t>00a931a8520f4aca7749aba68a6391c5b2fd0398e93ff3af6be623b914e8ce83</t>
  </si>
  <si>
    <t>00b96d270e7d102667211579bd73f9448c66f042926ac65052d4d2f7dc882169</t>
  </si>
  <si>
    <t>00ead3abcdb334888f51deeab5f2a89694b6b88641d40e5a9a5218809aa43b68</t>
  </si>
  <si>
    <t>00d1a71682814374ea55adb111f314c78f36a072187e2fcea6819f550465759d</t>
  </si>
  <si>
    <t>00dd1f8ff2167fca11719422d2d93b34ec5488be90b58dbbe36ae9ac492a7d46</t>
  </si>
  <si>
    <t>00d418a0939bb0854da6e69288301aec47d5d8bb0ac7ab33d82a2e1e9ca2fa47</t>
  </si>
  <si>
    <t>00ed015e224a5b046f3bdf8ce1e5f3ccd7ac71b44f500f7e13bd3cd66ff074f5</t>
  </si>
  <si>
    <t>00730e715e4a9df9e6f9644571d040695118b6437f991239f14428c7ef390f89</t>
  </si>
  <si>
    <t>00d1de8ee13e5884c164e5a12e8eac1346a201b9b204c559c33f4d84da6e10ea</t>
  </si>
  <si>
    <t>0065e5dcc6ce043d6185918a15bbda7993b51d8b08e4a8d3810e5adea7a16aca</t>
  </si>
  <si>
    <t>00e8207d2b29d54f59c7762210342c3fe0a798350cf59fb5d01fbb3b41cdfe7d</t>
  </si>
  <si>
    <t>004136146c6d80c0b384c76bd9683868ba57a67163e091fb6af4058045372f4c</t>
  </si>
  <si>
    <t>006dc92db6e2f78c0f9bbcb480b8fdafc45123d6728e8765193a61d6cc377b0c</t>
  </si>
  <si>
    <t>00b3a5f7c2fe2adcda0322d6982409ae88608bf0c5ff73a64461055d0ae49ee1</t>
  </si>
  <si>
    <t>00b8ab0facd8c536e9a764ae661c0700665000d9b56aa5c7bd02d3a6b0a79d33</t>
  </si>
  <si>
    <t>00fb3b788c3f456aac43718e56acda25b30a2a5494087b1d100fd4365fbaebb5</t>
  </si>
  <si>
    <t>005cbfa84d747a337b8a7faf1d9c1c044bbb951c55482d236f3d04f3af82421e</t>
  </si>
  <si>
    <t>004e3f3f33162f07c9eb4ad2a41a915921cb16326f60fa22136570201cec9b30</t>
  </si>
  <si>
    <t>007fc30fae2ccc7cb0b9133df1d163e2f7929bc1538d60caae3d02f29c7cb716</t>
  </si>
  <si>
    <t>00814c66783a4ff8fb19b48223b43a90488e4e4088d12be6197b15e4c3645978</t>
  </si>
  <si>
    <t>00fd957cbc8e47bee8c603376a382ff577d589341afc28aff3adff6e510214c0</t>
  </si>
  <si>
    <t>008c8c968dec2624652a015113823909edbd98dae7be033f179c87f3a81ae4ad</t>
  </si>
  <si>
    <t>00dfcb5bd5d7230f09d0f8ed59317895418859403856459ec48d41ad9500247e</t>
  </si>
  <si>
    <t>002051357f3d86dcd4cc7d2a371401dd9414ca1eabc8512ce129806422154052</t>
  </si>
  <si>
    <t>00fa66459472cb8076fc13a542023dcfe398fe5e30eb9e5390b998ffe7295aef</t>
  </si>
  <si>
    <t>00b0de767c979855a0b0f4fb073c4ce71763e09ce1f9a80780b936e2b2be75b5</t>
  </si>
  <si>
    <t>002b39aa93320e4f15f02458fa43829bb703f7ca56fc8cd23fae662ba3448d31</t>
  </si>
  <si>
    <t>0082347141a77d57b8adf22eba71789136cb9344999b04b1223960761399d48a</t>
  </si>
  <si>
    <t>00adaa902d536bacc33a49781fc35f87f3c80314f43cebf576c2f13a5a477ddd</t>
  </si>
  <si>
    <t>0078a82adf49224c1083375f36cf71d2475855de6faebf14c0fcafb929d5f588</t>
  </si>
  <si>
    <t>00145ef4c268088adc44f7ca3398777bb265385359118f8fe1ff4815814de544</t>
  </si>
  <si>
    <t>003628cb526101b00e83fb69427df7a5f7117498b519d8fbf01377682e421ab9</t>
  </si>
  <si>
    <t>00245dbdd15da45ffb7dd25c56633ae0c91b3707285ae46db22ab7eb487a1b9a</t>
  </si>
  <si>
    <t>00a1c4b5f7aeb3f937ac8b6e64e9c060386db979daad5088257ae8745c8633ec</t>
  </si>
  <si>
    <t>0023f53b48b28ac03d83da0be374ba1214b385fd3699d266e1fe4a32f5f2778d</t>
  </si>
  <si>
    <t>002966fe5c70b979fb04047ea423dee20928ddce7dc67098a2d6450d645a2eac</t>
  </si>
  <si>
    <t>00e2137d328b49e6a152c945bf4972a65258119df0acc8fa91b2829128a85d6d</t>
  </si>
  <si>
    <t>00c3a9a6e110fc2a0603a913658cf528085ffd53ce25519715c77a7c3697664c</t>
  </si>
  <si>
    <t>00a3553f036c7b00252eaa72599c44bd7d4b64f664e605792d14fd61648528dd</t>
  </si>
  <si>
    <t>003855b736e7966dff218beaf2cb3ea7e66a60109d38f29e47c19e22c3bc8327</t>
  </si>
  <si>
    <t>0071849eb6ab746f17f57db9bd33b8a5b9433f8ff1c292d33aba16a0eadd75bb</t>
  </si>
  <si>
    <t>00af68c765e92407888e5f337645c88d5c82baa87f2cb3fad759fe5d1393e9e4</t>
  </si>
  <si>
    <t>00f7f25ef3e8071d87d37382327ec8ea70d8d5ee975de2cc817c5668ef19995c</t>
  </si>
  <si>
    <t>0049c444e83597bb42a0932219f6cebcd4f715dc8442d257acbb85ab9254f722</t>
  </si>
  <si>
    <t>00cda33b715690994e37104a39be7217476d6ad8ac05c4fa627dadec339fa593</t>
  </si>
  <si>
    <t>002710f00f98f6c636a6623ed01ae02563702fa8c4a9f62605bf5613088b2126</t>
  </si>
  <si>
    <t>001bf930d950b40228d1e9e2457cf56a99afac81ecc3d455e23368e277f3ca8a</t>
  </si>
  <si>
    <t>005270a2e0754bcbfdd1374ea299b4680ff580b92ac444e7e97ff56a15d08c3e</t>
  </si>
  <si>
    <t>006087049f6096be681662f07e30fda357f8e7b700a23e3b30f75bf04a9bf68d</t>
  </si>
  <si>
    <t>0068e1e6b694063827a94cc5a4380c1458f523277617100e68b423fd8428fcb1</t>
  </si>
  <si>
    <t>00201c96b17a3bc3c167453639ccd64caeaa38c4fed0bfa5502d821fb38c9ca5</t>
  </si>
  <si>
    <t>0058461bf9b3a01bad0aab85ce31c5b61207614f62456e636404d5386bbba974</t>
  </si>
  <si>
    <t>00b4e8f39a3c946a7254fcede2f09d2253287f5d851457f974d0a65a43060ef7</t>
  </si>
  <si>
    <t>00ac3a9dcc2261ff0379e5cfeec730a8bb101a986660d518c8f2905a465aa451</t>
  </si>
  <si>
    <t>0044c222fb1c43491c8f14a097c7c4b26f4c411e68823de3d973ab8d04e0f54f</t>
  </si>
  <si>
    <t>00304d1e4ce8bd03471c9901c4b5706fa12e5927fdf5dc7346015b521ffeb159</t>
  </si>
  <si>
    <t>008b828373baaebbecdb5e5017d30ce6aee2bbeae616417a00769878b85a5a0f</t>
  </si>
  <si>
    <t>009a714529b6362e7a9a9b3e1083daf80c36779642c3d1ef1a6aaacb4d672c5e</t>
  </si>
  <si>
    <t>001e0c8fb24366f72df24dd0beb1f3e3ae1c1780d9c9b822fb7b99bfee50ad6d</t>
  </si>
  <si>
    <t>0013f704e1aa7d6671e014b42c84fd89200aced9eae6a6d225ecab6164700114</t>
  </si>
  <si>
    <t>002fba46bad95a9f6619ad97c88941b772c2b6a9cce3d28034ba9bd8eac5860f</t>
  </si>
  <si>
    <t>00e1e09c2f2d011abaab1cfc4725d50e771666684dde97174b992bb7ce89fee1</t>
  </si>
  <si>
    <t>0032b55c6cacefc113f4ede78f677913da22c791f7896ea9aced81ce48977540</t>
  </si>
  <si>
    <t>007c2fbd4c3056ed79dfd7dfd8dc8ff4f9fd690a2a8452986e524430c150e688</t>
  </si>
  <si>
    <t>001bb36af0adc1d3efeb121f7839829d86a26eb298309065f8e7799d37afdcef</t>
  </si>
  <si>
    <t>006dc238fb76b4d8d515ecb1ae63e6aa9411af6c9d98cf7ee8a24b9730c16642</t>
  </si>
  <si>
    <t>0080132663384a6ee7d25cd1b2270bb384e2753072ba2fd74a8786aee3af1547</t>
  </si>
  <si>
    <t>0079584630faa9e9dbe48d8540fb79776edf06a2037d4bc3f46f792c151ee72d</t>
  </si>
  <si>
    <t>007c5ba7e5b8a70b4fc42329555ce98a40d272bba74c867c52ed3fb91d2b016f</t>
  </si>
  <si>
    <t>003ebb92c98b994a19401c569d3e5205c18452398b59398698b5f44a8e63daad</t>
  </si>
  <si>
    <t>00cf56daa256da4b91c1471d8918bca5d7172fedec2a598e9866d7417c635b97</t>
  </si>
  <si>
    <t>0095bfe0add1dc0f571600638b06803a3b10d5d2af2c0f859d98e125736dc4f4</t>
  </si>
  <si>
    <t>00d9f71852db6eab1a4f1b81a91534ce1d65d486af499e04eebccd7ca6d53745</t>
  </si>
  <si>
    <t>001df3c47dde396c481e5b5526cd13205942335ae51d62d8af40a73f4151c711</t>
  </si>
  <si>
    <t>00b6eb04731b6959c9ccef4c1161a9beaaf4b97275ccf4cee8eb0039c91e38d1</t>
  </si>
  <si>
    <t>00dc2fa54679a6e5f0ac89b0dbccb18080b25215c000e0a9587b0c083724b283</t>
  </si>
  <si>
    <t>00ae1e9aa7e80957388a6a406096ac57ffac20f98fa764f795dc6941b67aaa18</t>
  </si>
  <si>
    <t>00e5f5b18066fe66212a899483748dbec0b4e35343fd133b27d9e89a9db075d1</t>
  </si>
  <si>
    <t>00d95a5800838e4c4d19a071212e4ce8470b4705cb2fb7130f2c7a7f56c3a22f</t>
  </si>
  <si>
    <t>00b046b2ee720c247479a5a6d1a14b2d0d46ce3f5ac9e450de93cae13aaf94a0</t>
  </si>
  <si>
    <t>00171de322cba55219a36b246817de51fbc0b822805d2fd1090ddfbd304e47de</t>
  </si>
  <si>
    <t>001538a8ee9fbcd1e99c482a91f82df5bb082bca8c9c49a75739a1185ef32825</t>
  </si>
  <si>
    <t>00459489efaaafb74ef4256b9b906b76ec7129f1d6ec9185cc9ceeee91e58b11</t>
  </si>
  <si>
    <t>00e27fe51b5c194d50b924a27a63bc7be722fe2e93a00e34c4c13789c841e505</t>
  </si>
  <si>
    <t>0040be2574340cee05352bfb4ac25717001eb9a6dc24af7a5a6ecec5353c742d</t>
  </si>
  <si>
    <t>00db4edf9f49d7c9b9d2d63365d2fcb209218b6f66011f488396c2f21954d192</t>
  </si>
  <si>
    <t>00509f771ac1d03bf97f7dc0513039bf4cb0935a16c1c36dfc886991b8f8454d</t>
  </si>
  <si>
    <t>004d3c2e76b20be139d0947982cf7d8e5734a955500daad088822b167df7a84c</t>
  </si>
  <si>
    <t>00234cb6ce882d09374563c2d5150f0a2af4f17fccf60d0fee8f53a36095a575</t>
  </si>
  <si>
    <t>00768d5a289d735bd92fea42783fe6431be7e5565a754b14460e699ea7a5c8a6</t>
  </si>
  <si>
    <t>00c38f0cd69a471589192f484a16eda71d3d270fb0c85635c4152fefeec04877</t>
  </si>
  <si>
    <t>0078bec53762625830f9b5bb21c1ba800dcfb944c84f915cc3d1f595f97807c3</t>
  </si>
  <si>
    <t>0040cb98a8c7443f095737916ada28c15cb7366d05adf53f2dd98c32598d8654</t>
  </si>
  <si>
    <t>004303ab573d3321efcab222ed723827e05359f373d12ee1843398e2fbd3b26b</t>
  </si>
  <si>
    <t>0016df6390a84bd4dc589ac7953ef665fa2a8a7d8999db58e68efcb9479a5ffc</t>
  </si>
  <si>
    <t>002dbae690cbe094953b1a8efca2d94556546aef1f4f72c148681f24c8b3151f</t>
  </si>
  <si>
    <t>00772df1e67229d3f68e2b2cca0c6c6bd5c8218fc986f63f5d47fbce9300db2b</t>
  </si>
  <si>
    <t>00eacf63d80f62bfce0df5992cd92229517dae0bc12d31b7945f2cb5c4288eb8</t>
  </si>
  <si>
    <t>0085ad6b92c796a95a445956dbd9ab5f0b35b7d42a646229cd453b188c0b742d</t>
  </si>
  <si>
    <t>0046ee9bc1f4c90b20e6771eb6f972e44d92e9a6f83aee806510e7948ad2ac77</t>
  </si>
  <si>
    <t>0071a895ae935abd73bb5a6f824fb7081e2711c0c25732a93e3cfb3acc75fa96</t>
  </si>
  <si>
    <t>003aec2def11bd7f871bc5dbd65ceec1cd22a87b80e9aa36b13c0419322ca6d0</t>
  </si>
  <si>
    <t>0082f02e4c04285615e344b6e39e2ea712e1cd488ccd5d3bff56cfaff56d601e</t>
  </si>
  <si>
    <t>009a861de1a2a08def6041dedb39bab25a4b748c6da3b8cc7174c1c2bc18b525</t>
  </si>
  <si>
    <t>005fd465fcdbdb1612479f109af4cd5cc333daad5a548500631141e05a75b1c0</t>
  </si>
  <si>
    <t>0096c5c1806659a869958282e93a67ed9d4f6bd552eaa4cbfef1ae355438b89e</t>
  </si>
  <si>
    <t>006426ae70de1e021a8ab36e3f82c9b55bb1968aff8325b6450647754d73e7d8</t>
  </si>
  <si>
    <t>003fa526619a468da46114156c6be2b2fd8b9cd944f149333bc7fd1f8bcafe7f</t>
  </si>
  <si>
    <t>00cde243d2563db2c2e74c37df52f75fdfb54c29c6abd9f9f69c4f4f10188487</t>
  </si>
  <si>
    <t>00567a2c55f621b63c75e29fcc1509e52cd8df8fccf19a95bcbbc32fc965dd6c</t>
  </si>
  <si>
    <t>006868c9a5cdf7b68917b202ecda54419153380cf0ab3190dfa6466dd967d703</t>
  </si>
  <si>
    <t>00b21413bda1a84bc90e5e9ec75c7df32c00e4f0c53bbb410abf8387106c2001</t>
  </si>
  <si>
    <t>004e0deeb8745d80053cb131f688527408e58ade28ee09ff434c7ee291c3b86e</t>
  </si>
  <si>
    <t>00b9cdb50ca6b4288784e08e4d97e8003f2e8a811125dc2b5188802afcb7ac85</t>
  </si>
  <si>
    <t>00a1423e0cb03baf54a1915d69f105bfdb2b713e6c8ddb2c34b50854f6eed464</t>
  </si>
  <si>
    <t>007b2e7a5317ae697f781ae511fa5392e30461bcb3a5965cabaa1b3cd75086b0</t>
  </si>
  <si>
    <t>0055ec30b9154ec16ab35fb906a3d6d86dc98b3b8ee322bcd04b514358e5e527</t>
  </si>
  <si>
    <t>00fc623449618efe6d216e7a17ff8cf4a6da91d90170bd95b687fbc45d1b97ee</t>
  </si>
  <si>
    <t>007c317da222f7def74eaf84506f0161c63d393238aa32ad6445ff6446da2dc8</t>
  </si>
  <si>
    <t>00bcec3a2d2abe8b4bfc5fd211af31e9cd0705117f8226bf12224163c57f34fe</t>
  </si>
  <si>
    <t>00be53da0cf6e4b3f3841c621df050c926df54f6bd31072869b14aa973d57467</t>
  </si>
  <si>
    <t>00fe39ceed545d8cd10cf2ea5ae05cf46223dec2095d10c298ced9687a510bdf</t>
  </si>
  <si>
    <t>00e123942706946e8706742f1b207a73673a2812f8a904b82d4f91b6d285b988</t>
  </si>
  <si>
    <t>00c63771874ef539f13fd3b6ccdfe664f41633ab55206895f5925fddd9547f38</t>
  </si>
  <si>
    <t>00b6dc3e6c25a6fb8d1cb0d14b806cd2f9ae690306f5c608228df31aa581155c</t>
  </si>
  <si>
    <t>00359527dfc14f2510d74d24167f5378c9aa104784eb243cb7c3b7121b802553</t>
  </si>
  <si>
    <t>0078b1993e0948652c4dd50d6aaf0325e74be99ba40f622680bf827bc318985a</t>
  </si>
  <si>
    <t>00abccacc396057cc58f9dbc90908d312ee25c7ed590ad153dcde700bc3c064f</t>
  </si>
  <si>
    <t>00a4be5013597345e73bc887f777736af2f503fce447cc1fc963055d6c0a0b3e</t>
  </si>
  <si>
    <t>00e0a518fcbbd68487b8ae15ff644ba117e7f910a7efd24ed03f345dd5b84324</t>
  </si>
  <si>
    <t>006eb8f5a171af053f8070f8be53c9b50361b35f93425109e25317d92e082b02</t>
  </si>
  <si>
    <t>00325a7edf0847b9fe629ab733880776121e9fa8c24ffe069d9d0efea115eee2</t>
  </si>
  <si>
    <t>00d53277462c3c5db891db076778c85cde6cb52486037d50cf7d1e0fb2ae4d87</t>
  </si>
  <si>
    <t>00f3a69d2fbec3ff06fc73a428e5e9814e5719067456881f1521e510e13a4cc0</t>
  </si>
  <si>
    <t>00da0776c5c342b6c3cd2fa8f2d3d4c2bb6a03f3699a24b6a050119ba2d4dbf1</t>
  </si>
  <si>
    <t>00fea5c0e32c02aaeaf8a1e59d276332759443b58d9c9d7bedd095ea708727bf</t>
  </si>
  <si>
    <t>00979fde3596864545e8532f74402a46c696eb53c31369401f59876e45864219</t>
  </si>
  <si>
    <t>0016d9fe4c5cd4cc5517324e4fee41e1e29c6e0bd7a36ed55b5e445883c256b9</t>
  </si>
  <si>
    <t>0084fe1b6f6f3556d8aee729d4ffae734d2ed510c3475ee27711c682db33231b</t>
  </si>
  <si>
    <t>00984383b3aa01c1283f69480a473ccddbcdc53e0e95bae11a3d2aaa8baf4764</t>
  </si>
  <si>
    <t>00f0c80c521da09b79bbee7670c328ea18cf3521b917b9b3d45ee0c3fb046b07</t>
  </si>
  <si>
    <t>00531df2791690b6f8275a118ce6cf4f582a57d7296715ef49c03f185d368b42</t>
  </si>
  <si>
    <t>00e500a7f99d8a5caf85275a3f8bb7c3ae2ceb61289d24c09c80752eb697c086</t>
  </si>
  <si>
    <t>00fa4edc0ae9cd991a8fcf7481649f25a8cbb4f08249a31f922580d34727a5b3</t>
  </si>
  <si>
    <t>00a14f0f98f0d136a058f38f7ed842b219cf2a2d7a6740de2d0fbbf5fc883410</t>
  </si>
  <si>
    <t>005d5280e73182eb78c9837b30c68ff3e239b5159b9ec0d7449e73a67562ea66</t>
  </si>
  <si>
    <t>008180e5bec7d64a45fdb22a004a2013617711d6bf3f3bec830123ee79865900</t>
  </si>
  <si>
    <t>00da7bf107eabcbe8cc5f74a673a4a41b76e74386da0f82926fa37bd3164e205</t>
  </si>
  <si>
    <t>001a3f0413b9c195a47938c7cd8b91628c6758cc9d6486b36014a6f0a49c2d1a</t>
  </si>
  <si>
    <t>00869845dc3ba96fd96d6d2d1c4792de2d4bab46964b8d9a50054353ac70ad96</t>
  </si>
  <si>
    <t>0085b5199335912f7cafa6591f9191c02ff7cba20567d800910d5aac38ad3e4c</t>
  </si>
  <si>
    <t>00d30936d74ae7142434dc0add82781306de1e959721b8db8bfb09638d1cc721</t>
  </si>
  <si>
    <t>0054bebc43d3ffd1467beb965bb928a433f55c27d346975d239446101abecdde</t>
  </si>
  <si>
    <t>00fe744e3f335288db054e10e2fb6455d3fbbd2a501fefafc7ba1e5a0a6b8402</t>
  </si>
  <si>
    <t>00d65546991981216fe6ace5f2c41f3bfed86a67206333c1f0eda48f89c5bc0d</t>
  </si>
  <si>
    <t>004e2b022fd32556635b1f169a764c36913e9023a54590adbbae9e4514bb403b</t>
  </si>
  <si>
    <t>00596724edd73fd392c5d3d2b779360b8969b56c4171526d623f773d030838c7</t>
  </si>
  <si>
    <t>001fd686496d05a02d1a061e70a53edd3e155037bd573690ec5b6d8a6818b52b</t>
  </si>
  <si>
    <t>00143cc9b978edc1f6e42ac960d4977af36cfa14241babb22eb0f600ae3fd960</t>
  </si>
  <si>
    <t>003d10753ab7b657b1847303eea84fdfb443003a02e4c3a01964709498921f02</t>
  </si>
  <si>
    <t>00146d452b9bd1243202fb930222fa7f0b0ccf86133c14a340438ec53b807346</t>
  </si>
  <si>
    <t>0068f88d57217794b8d3b490c5fd1b434d246d46b2fafcf4a6b7c01b9970d6bf</t>
  </si>
  <si>
    <t>0076c8ec07ef669e9fd2d85dd9989f257fcd16b6ba346d6c1d2dafa46bef2ccf</t>
  </si>
  <si>
    <t>00e0b8f5a3eb2cf0eba6a08a49d78538eccb71ba0054fe98112c63db28fc473f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</si>
</sst>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[h]:mm:ss;@"/>
    <numFmt numFmtId="165" formatCode="[$-F400]h:mm:ss\ AM/PM"/>
  </numFmts>
  <fonts count="10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rgb="FF3B4045"/>
      <name val="Arial"/>
      <family val="2"/>
    </font>
    <font>
      <sz val="8"/>
      <color theme="0" tint="-0.499984740745262"/>
      <name val="Open Sans"/>
      <family val="2"/>
    </font>
    <font>
      <sz val="10"/>
      <color theme="0" tint="-0.499984740745262"/>
      <name val="Calibri"/>
      <family val="2"/>
      <scheme val="minor"/>
    </font>
    <font>
      <b/>
      <sz val="8"/>
      <color rgb="FFFF0000"/>
      <name val="Open Sans"/>
      <family val="2"/>
    </font>
    <font>
      <sz val="9"/>
      <color rgb="FF002060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4" fillId="0" borderId="0" xfId="0" applyFont="1"/>
    <xf numFmtId="0" fontId="0" fillId="0" borderId="0" xfId="0" quotePrefix="1"/>
    <xf numFmtId="0" fontId="2" fillId="0" borderId="0" xfId="0" applyFont="1"/>
    <xf numFmtId="49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44" fontId="5" fillId="0" borderId="0" xfId="1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quotePrefix="1" applyFont="1" applyAlignment="1">
      <alignment horizontal="center" vertical="center"/>
    </xf>
    <xf numFmtId="165" fontId="3" fillId="0" borderId="0" xfId="0" applyNumberFormat="1" applyFont="1" applyAlignment="1">
      <alignment horizontal="center"/>
    </xf>
    <xf numFmtId="165" fontId="6" fillId="0" borderId="0" xfId="0" applyNumberFormat="1" applyFont="1"/>
    <xf numFmtId="165" fontId="0" fillId="0" borderId="0" xfId="0" applyNumberFormat="1" applyAlignment="1">
      <alignment horizontal="center"/>
    </xf>
    <xf numFmtId="0" fontId="7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5" fontId="6" fillId="0" borderId="0" xfId="0" applyNumberFormat="1" applyFon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43" fontId="0" fillId="0" borderId="0" xfId="2" applyFont="1" applyAlignment="1">
      <alignment horizontal="center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66B2E-55D5-4802-81E5-8648FEC8AD55}">
  <sheetPr codeName="Planilha3"/>
  <dimension ref="A1:Y601"/>
  <sheetViews>
    <sheetView showGridLines="0" tabSelected="1" zoomScale="80" zoomScaleNormal="80" workbookViewId="0">
      <pane xSplit="2" ySplit="4" topLeftCell="C492" activePane="bottomRight" state="frozen"/>
      <selection pane="topRight" activeCell="C1" sqref="C1"/>
      <selection pane="bottomLeft" activeCell="A5" sqref="A5"/>
      <selection pane="bottomRight" activeCell="K511" sqref="K511"/>
    </sheetView>
  </sheetViews>
  <sheetFormatPr defaultRowHeight="13" x14ac:dyDescent="0.3"/>
  <cols>
    <col min="1" max="1" width="8.796875" style="7"/>
    <col min="2" max="2" width="12.296875" style="7" customWidth="1"/>
    <col min="3" max="3" width="36" style="7" customWidth="1"/>
    <col min="4" max="4" width="59.69921875" style="7" bestFit="1" customWidth="1"/>
    <col min="5" max="5" width="60.19921875" style="7" bestFit="1" customWidth="1"/>
    <col min="6" max="9" width="1.8984375" style="7" bestFit="1" customWidth="1"/>
    <col min="10" max="10" width="3.3984375" style="7" customWidth="1"/>
    <col min="11" max="11" width="8.09765625" style="16" bestFit="1" customWidth="1"/>
    <col min="13" max="13" width="12.69921875" customWidth="1"/>
    <col min="14" max="14" width="39.3984375" bestFit="1" customWidth="1"/>
    <col min="15" max="15" width="40.19921875" bestFit="1" customWidth="1"/>
    <col min="16" max="20" width="12.69921875" customWidth="1"/>
    <col min="24" max="24" width="19.09765625" style="7" customWidth="1"/>
  </cols>
  <sheetData>
    <row r="1" spans="1:25" x14ac:dyDescent="0.3">
      <c r="B1" s="12" t="s">
        <v>3</v>
      </c>
      <c r="C1" s="12" t="s">
        <v>4</v>
      </c>
      <c r="D1" s="12" t="s">
        <v>0</v>
      </c>
      <c r="E1" s="12" t="s">
        <v>1</v>
      </c>
      <c r="F1" s="12">
        <v>1</v>
      </c>
      <c r="G1" s="12">
        <v>2</v>
      </c>
      <c r="H1" s="12">
        <v>3</v>
      </c>
      <c r="I1" s="12">
        <v>4</v>
      </c>
      <c r="J1" s="12" t="s">
        <v>66</v>
      </c>
      <c r="K1" s="14" t="s">
        <v>64</v>
      </c>
      <c r="V1" s="19">
        <f ca="1">INT(W1+(W2-W1)*RAND())</f>
        <v>0</v>
      </c>
      <c r="W1" s="19">
        <v>0.5</v>
      </c>
      <c r="X1" s="19">
        <v>104</v>
      </c>
      <c r="Y1" s="18">
        <v>3</v>
      </c>
    </row>
    <row r="2" spans="1:25" x14ac:dyDescent="0.3">
      <c r="A2" s="17">
        <v>500</v>
      </c>
      <c r="B2" s="8">
        <v>112</v>
      </c>
      <c r="C2" s="9" t="s">
        <v>967</v>
      </c>
      <c r="D2" s="13"/>
      <c r="E2" s="8" t="str">
        <f>encrypt(TEXT(B2&amp;C2&amp;D2,"Geral"))</f>
        <v>00e0b8f5a3eb2cf0eba6a08a49d78538eccb71ba0054fe98112c63db28fc473f</v>
      </c>
      <c r="F2" s="8">
        <f>IFERROR(VALUE(MID($E2,F$1,1)),1)</f>
        <v>0</v>
      </c>
      <c r="G2" s="8">
        <f t="shared" ref="G2:I2" si="0">IFERROR(VALUE(MID($E2,G$1,1)),1)</f>
        <v>0</v>
      </c>
      <c r="H2" s="8">
        <f t="shared" si="0"/>
        <v>1</v>
      </c>
      <c r="I2" s="8">
        <f t="shared" si="0"/>
        <v>0</v>
      </c>
      <c r="J2" s="8">
        <f>SUM(F2:G2)</f>
        <v>0</v>
      </c>
      <c r="K2" s="15">
        <v>3.4722215787041932E-5</v>
      </c>
      <c r="V2" s="19"/>
      <c r="W2" s="19">
        <v>1</v>
      </c>
      <c r="X2" s="19"/>
      <c r="Y2" s="19"/>
    </row>
    <row r="3" spans="1:25" x14ac:dyDescent="0.3">
      <c r="X3" s="20"/>
      <c r="Y3" s="20">
        <v>8.3333333896007389E-4</v>
      </c>
    </row>
    <row r="4" spans="1:25" x14ac:dyDescent="0.3">
      <c r="A4" s="12" t="s">
        <v>2</v>
      </c>
      <c r="B4" s="12" t="s">
        <v>3</v>
      </c>
      <c r="C4" s="12" t="s">
        <v>4</v>
      </c>
      <c r="D4" s="12" t="s">
        <v>0</v>
      </c>
      <c r="E4" s="12" t="s">
        <v>1</v>
      </c>
      <c r="F4" s="12">
        <v>1</v>
      </c>
      <c r="G4" s="12">
        <v>2</v>
      </c>
      <c r="H4" s="12">
        <v>3</v>
      </c>
      <c r="I4" s="12">
        <v>4</v>
      </c>
      <c r="J4" s="12" t="s">
        <v>66</v>
      </c>
      <c r="K4" s="14" t="s">
        <v>64</v>
      </c>
      <c r="M4" s="7" t="s">
        <v>7</v>
      </c>
      <c r="N4" s="7" t="s">
        <v>8</v>
      </c>
      <c r="O4" s="7" t="s">
        <v>9</v>
      </c>
      <c r="P4" s="7" t="s">
        <v>10</v>
      </c>
      <c r="Q4" s="7" t="s">
        <v>11</v>
      </c>
      <c r="R4" s="7" t="s">
        <v>12</v>
      </c>
      <c r="S4" s="7" t="s">
        <v>13</v>
      </c>
      <c r="T4" s="7" t="s">
        <v>14</v>
      </c>
      <c r="X4" s="20"/>
      <c r="Y4" s="20">
        <v>0</v>
      </c>
    </row>
    <row r="5" spans="1:25" x14ac:dyDescent="0.3">
      <c r="A5" s="7">
        <v>0</v>
      </c>
      <c r="B5" s="8">
        <v>2173</v>
      </c>
      <c r="C5" s="9" t="str">
        <f>M5&amp;N5&amp;O5&amp;P5&amp;Q5&amp;R5&amp;(S5*100)&amp;(T5*100)</f>
        <v>1000x85185fe3A4e36079818Ba1d12705A9B6898996580xa60AdD2af71a4f50b3F94509E71a1e9DbDeA5dDa1700236unidade1380027</v>
      </c>
      <c r="D5" s="13" t="s">
        <v>65</v>
      </c>
      <c r="E5" s="8" t="s">
        <v>167</v>
      </c>
      <c r="F5" s="8">
        <f>IFERROR(VALUE(MID($E5,F$1,1)),1)</f>
        <v>0</v>
      </c>
      <c r="G5" s="8">
        <f t="shared" ref="G5:I20" si="1">IFERROR(VALUE(MID($E5,G$1,1)),1)</f>
        <v>0</v>
      </c>
      <c r="H5" s="8">
        <f t="shared" si="1"/>
        <v>0</v>
      </c>
      <c r="I5" s="8">
        <f t="shared" si="1"/>
        <v>4</v>
      </c>
      <c r="J5" s="8">
        <f t="shared" ref="J5:J68" si="2">SUM(F5:H5)</f>
        <v>0</v>
      </c>
      <c r="K5" s="15">
        <v>4.9768518510973081E-4</v>
      </c>
      <c r="M5" s="8">
        <v>100</v>
      </c>
      <c r="N5" s="9" t="s">
        <v>15</v>
      </c>
      <c r="O5" s="9" t="s">
        <v>16</v>
      </c>
      <c r="P5" s="9">
        <v>1700</v>
      </c>
      <c r="Q5" s="9">
        <v>236</v>
      </c>
      <c r="R5" s="8" t="s">
        <v>17</v>
      </c>
      <c r="S5" s="11">
        <v>138</v>
      </c>
      <c r="T5" s="10">
        <v>0.27</v>
      </c>
      <c r="X5" s="20"/>
      <c r="Y5" s="20">
        <v>1.2384259243845008E-3</v>
      </c>
    </row>
    <row r="6" spans="1:25" x14ac:dyDescent="0.3">
      <c r="A6" s="7">
        <f>1+A5</f>
        <v>1</v>
      </c>
      <c r="B6" s="8">
        <v>717</v>
      </c>
      <c r="C6" s="9" t="str">
        <f t="shared" ref="C6:C69" si="3">M6&amp;N6&amp;O6&amp;P6&amp;Q6&amp;R6&amp;(S6*100)&amp;(T6*100)</f>
        <v>1010x85185fe3A4e36079818Ba1d12705A9B6898996580xa60AdD2af71a4f50b3F94509E71a1e9DbDeA5dDa1866498unidade1390027</v>
      </c>
      <c r="D6" s="13" t="s">
        <v>67</v>
      </c>
      <c r="E6" s="8" t="s">
        <v>969</v>
      </c>
      <c r="F6" s="8">
        <f>IFERROR(VALUE(MID($E6,F$1,1)),1)</f>
        <v>0</v>
      </c>
      <c r="G6" s="8">
        <f t="shared" si="1"/>
        <v>0</v>
      </c>
      <c r="H6" s="8">
        <f t="shared" si="1"/>
        <v>1</v>
      </c>
      <c r="I6" s="8">
        <f t="shared" si="1"/>
        <v>1</v>
      </c>
      <c r="J6" s="8">
        <f t="shared" si="2"/>
        <v>1</v>
      </c>
      <c r="K6" s="15">
        <v>1.5046296175569296E-4</v>
      </c>
      <c r="M6" s="8">
        <f t="shared" ref="M6:M69" si="4">1+M5</f>
        <v>101</v>
      </c>
      <c r="N6" s="9" t="s">
        <v>15</v>
      </c>
      <c r="O6" s="9" t="s">
        <v>16</v>
      </c>
      <c r="P6" s="9">
        <v>1866</v>
      </c>
      <c r="Q6" s="9">
        <v>498</v>
      </c>
      <c r="R6" s="8" t="s">
        <v>17</v>
      </c>
      <c r="S6" s="11">
        <v>139</v>
      </c>
      <c r="T6" s="10">
        <v>0.27</v>
      </c>
      <c r="X6" s="20"/>
      <c r="Y6" s="20">
        <v>1.2384259243845008E-3</v>
      </c>
    </row>
    <row r="7" spans="1:25" x14ac:dyDescent="0.3">
      <c r="A7" s="7">
        <f t="shared" ref="A7:A70" si="5">1+A6</f>
        <v>2</v>
      </c>
      <c r="B7" s="8">
        <v>80</v>
      </c>
      <c r="C7" s="9" t="str">
        <f t="shared" si="3"/>
        <v>1020x85185fe3A4e36079818Ba1d12705A9B6898996580xa60AdD2af71a4f50b3F94509E71a1e9DbDeA5dDa1313433unidade1500027</v>
      </c>
      <c r="D7" s="13" t="s">
        <v>68</v>
      </c>
      <c r="E7" s="8" t="s">
        <v>970</v>
      </c>
      <c r="F7" s="8">
        <f t="shared" ref="F7:I38" si="6">IFERROR(VALUE(MID($E7,F$1,1)),1)</f>
        <v>0</v>
      </c>
      <c r="G7" s="8">
        <f t="shared" si="1"/>
        <v>0</v>
      </c>
      <c r="H7" s="8">
        <f t="shared" si="1"/>
        <v>3</v>
      </c>
      <c r="I7" s="8">
        <f t="shared" si="1"/>
        <v>4</v>
      </c>
      <c r="J7" s="8">
        <f t="shared" si="2"/>
        <v>3</v>
      </c>
      <c r="K7" s="15">
        <v>2.3148153559304774E-5</v>
      </c>
      <c r="M7" s="8">
        <f t="shared" si="4"/>
        <v>102</v>
      </c>
      <c r="N7" s="9" t="s">
        <v>15</v>
      </c>
      <c r="O7" s="9" t="s">
        <v>16</v>
      </c>
      <c r="P7" s="9">
        <v>1313</v>
      </c>
      <c r="Q7" s="9">
        <v>433</v>
      </c>
      <c r="R7" s="8" t="s">
        <v>17</v>
      </c>
      <c r="S7" s="11">
        <v>150</v>
      </c>
      <c r="T7" s="10">
        <v>0.27</v>
      </c>
      <c r="X7" s="20"/>
      <c r="Y7" s="20">
        <v>1.2384259316604584E-3</v>
      </c>
    </row>
    <row r="8" spans="1:25" x14ac:dyDescent="0.3">
      <c r="A8" s="7">
        <f t="shared" si="5"/>
        <v>3</v>
      </c>
      <c r="B8" s="8">
        <v>30</v>
      </c>
      <c r="C8" s="9" t="str">
        <f t="shared" si="3"/>
        <v>1030x85185fe3A4e36079818Ba1d12705A9B6898996580xa60AdD2af71a4f50b3F94509E71a1e9DbDeA5dDa1705256unidade2500027</v>
      </c>
      <c r="D8" s="13" t="s">
        <v>69</v>
      </c>
      <c r="E8" s="8" t="s">
        <v>971</v>
      </c>
      <c r="F8" s="8">
        <f t="shared" si="6"/>
        <v>0</v>
      </c>
      <c r="G8" s="8">
        <f t="shared" si="1"/>
        <v>0</v>
      </c>
      <c r="H8" s="8">
        <f t="shared" si="1"/>
        <v>1</v>
      </c>
      <c r="I8" s="8">
        <f t="shared" si="1"/>
        <v>1</v>
      </c>
      <c r="J8" s="8">
        <f t="shared" si="2"/>
        <v>1</v>
      </c>
      <c r="K8" s="15">
        <v>1.1574069503694773E-5</v>
      </c>
      <c r="M8" s="8">
        <f t="shared" si="4"/>
        <v>103</v>
      </c>
      <c r="N8" s="9" t="s">
        <v>15</v>
      </c>
      <c r="O8" s="9" t="s">
        <v>16</v>
      </c>
      <c r="P8" s="9">
        <v>1705</v>
      </c>
      <c r="Q8" s="9">
        <v>256</v>
      </c>
      <c r="R8" s="8" t="s">
        <v>17</v>
      </c>
      <c r="S8" s="11">
        <v>250</v>
      </c>
      <c r="T8" s="10">
        <v>0.27</v>
      </c>
      <c r="X8" s="20"/>
      <c r="Y8" s="20"/>
    </row>
    <row r="9" spans="1:25" x14ac:dyDescent="0.3">
      <c r="A9" s="7">
        <f t="shared" si="5"/>
        <v>4</v>
      </c>
      <c r="B9" s="8">
        <v>244</v>
      </c>
      <c r="C9" s="9" t="str">
        <f t="shared" si="3"/>
        <v>1040x85185fe3A4e36079818Ba1d12705A9B6898996580xa60AdD2af71a4f50b3F94509E71a1e9DbDeA5dDa1766476unidade1250027</v>
      </c>
      <c r="D9" s="13" t="s">
        <v>70</v>
      </c>
      <c r="E9" s="8" t="s">
        <v>972</v>
      </c>
      <c r="F9" s="8">
        <f t="shared" si="6"/>
        <v>0</v>
      </c>
      <c r="G9" s="8">
        <f t="shared" si="1"/>
        <v>0</v>
      </c>
      <c r="H9" s="8">
        <f t="shared" si="1"/>
        <v>1</v>
      </c>
      <c r="I9" s="8">
        <f t="shared" si="1"/>
        <v>6</v>
      </c>
      <c r="J9" s="8">
        <f t="shared" si="2"/>
        <v>1</v>
      </c>
      <c r="K9" s="15">
        <v>4.6296299842651933E-5</v>
      </c>
      <c r="M9" s="8">
        <f t="shared" si="4"/>
        <v>104</v>
      </c>
      <c r="N9" s="9" t="s">
        <v>15</v>
      </c>
      <c r="O9" s="9" t="s">
        <v>16</v>
      </c>
      <c r="P9" s="9">
        <v>1766</v>
      </c>
      <c r="Q9" s="9">
        <v>476</v>
      </c>
      <c r="R9" s="8" t="s">
        <v>17</v>
      </c>
      <c r="S9" s="11">
        <v>125</v>
      </c>
      <c r="T9" s="10">
        <v>0.27</v>
      </c>
      <c r="X9" s="20"/>
      <c r="Y9" s="20"/>
    </row>
    <row r="10" spans="1:25" x14ac:dyDescent="0.3">
      <c r="A10" s="7">
        <f t="shared" si="5"/>
        <v>5</v>
      </c>
      <c r="B10" s="8">
        <v>329</v>
      </c>
      <c r="C10" s="9" t="str">
        <f t="shared" si="3"/>
        <v>1050x85185fe3A4e36079818Ba1d12705A9B6898996580xa60AdD2af71a4f50b3F94509E71a1e9DbDeA5dDa1586290unidade960027</v>
      </c>
      <c r="D10" s="13" t="s">
        <v>71</v>
      </c>
      <c r="E10" s="8" t="s">
        <v>973</v>
      </c>
      <c r="F10" s="8">
        <f t="shared" si="6"/>
        <v>0</v>
      </c>
      <c r="G10" s="8">
        <f t="shared" si="1"/>
        <v>0</v>
      </c>
      <c r="H10" s="8">
        <f t="shared" si="1"/>
        <v>1</v>
      </c>
      <c r="I10" s="8">
        <f t="shared" si="1"/>
        <v>2</v>
      </c>
      <c r="J10" s="8">
        <f t="shared" si="2"/>
        <v>1</v>
      </c>
      <c r="K10" s="15">
        <v>9.2592592409346253E-5</v>
      </c>
      <c r="M10" s="8">
        <f t="shared" si="4"/>
        <v>105</v>
      </c>
      <c r="N10" s="9" t="s">
        <v>15</v>
      </c>
      <c r="O10" s="9" t="s">
        <v>16</v>
      </c>
      <c r="P10" s="9">
        <v>1586</v>
      </c>
      <c r="Q10" s="9">
        <v>290</v>
      </c>
      <c r="R10" s="8" t="s">
        <v>17</v>
      </c>
      <c r="S10" s="11">
        <v>96</v>
      </c>
      <c r="T10" s="10">
        <v>0.27</v>
      </c>
      <c r="X10" s="20"/>
      <c r="Y10" s="20"/>
    </row>
    <row r="11" spans="1:25" x14ac:dyDescent="0.3">
      <c r="A11" s="7">
        <f t="shared" si="5"/>
        <v>6</v>
      </c>
      <c r="B11" s="8">
        <v>38</v>
      </c>
      <c r="C11" s="9" t="str">
        <f t="shared" si="3"/>
        <v>1060x85185fe3A4e36079818Ba1d12705A9B6898996580xa60AdD2af71a4f50b3F94509E71a1e9DbDeA5dDa1183106unidade1420027</v>
      </c>
      <c r="D11" s="13" t="s">
        <v>72</v>
      </c>
      <c r="E11" s="8" t="s">
        <v>974</v>
      </c>
      <c r="F11" s="8">
        <f t="shared" si="6"/>
        <v>0</v>
      </c>
      <c r="G11" s="8">
        <f t="shared" si="1"/>
        <v>0</v>
      </c>
      <c r="H11" s="8">
        <f t="shared" si="1"/>
        <v>9</v>
      </c>
      <c r="I11" s="8">
        <f t="shared" si="1"/>
        <v>1</v>
      </c>
      <c r="J11" s="8">
        <f t="shared" si="2"/>
        <v>9</v>
      </c>
      <c r="K11" s="15">
        <v>1.1574069503694773E-5</v>
      </c>
      <c r="M11" s="8">
        <f t="shared" si="4"/>
        <v>106</v>
      </c>
      <c r="N11" s="9" t="s">
        <v>15</v>
      </c>
      <c r="O11" s="9" t="s">
        <v>16</v>
      </c>
      <c r="P11" s="9">
        <v>1183</v>
      </c>
      <c r="Q11" s="9">
        <v>106</v>
      </c>
      <c r="R11" s="8" t="s">
        <v>17</v>
      </c>
      <c r="S11" s="11">
        <v>142</v>
      </c>
      <c r="T11" s="10">
        <v>0.27</v>
      </c>
      <c r="X11" s="20"/>
      <c r="Y11" s="20"/>
    </row>
    <row r="12" spans="1:25" x14ac:dyDescent="0.3">
      <c r="A12" s="7">
        <f t="shared" si="5"/>
        <v>7</v>
      </c>
      <c r="B12" s="8">
        <v>166</v>
      </c>
      <c r="C12" s="9" t="str">
        <f t="shared" si="3"/>
        <v>1070x85185fe3A4e36079818Ba1d12705A9B6898996580xa60AdD2af71a4f50b3F94509E71a1e9DbDeA5dDa1851182unidade2380027</v>
      </c>
      <c r="D12" s="13" t="s">
        <v>73</v>
      </c>
      <c r="E12" s="8" t="s">
        <v>975</v>
      </c>
      <c r="F12" s="8">
        <f t="shared" si="6"/>
        <v>0</v>
      </c>
      <c r="G12" s="8">
        <f t="shared" si="1"/>
        <v>0</v>
      </c>
      <c r="H12" s="8">
        <f t="shared" si="1"/>
        <v>1</v>
      </c>
      <c r="I12" s="8">
        <f t="shared" si="1"/>
        <v>9</v>
      </c>
      <c r="J12" s="8">
        <f t="shared" si="2"/>
        <v>1</v>
      </c>
      <c r="K12" s="15">
        <v>4.6296299842651933E-5</v>
      </c>
      <c r="M12" s="8">
        <f t="shared" si="4"/>
        <v>107</v>
      </c>
      <c r="N12" s="9" t="s">
        <v>15</v>
      </c>
      <c r="O12" s="9" t="s">
        <v>16</v>
      </c>
      <c r="P12" s="9">
        <v>1851</v>
      </c>
      <c r="Q12" s="9">
        <v>182</v>
      </c>
      <c r="R12" s="8" t="s">
        <v>17</v>
      </c>
      <c r="S12" s="11">
        <v>238</v>
      </c>
      <c r="T12" s="10">
        <v>0.27</v>
      </c>
      <c r="X12" s="20"/>
      <c r="Y12" s="20"/>
    </row>
    <row r="13" spans="1:25" x14ac:dyDescent="0.3">
      <c r="A13" s="7">
        <f t="shared" si="5"/>
        <v>8</v>
      </c>
      <c r="B13" s="8">
        <v>230</v>
      </c>
      <c r="C13" s="9" t="str">
        <f t="shared" si="3"/>
        <v>1080x85185fe3A4e36079818Ba1d12705A9B6898996580xa60AdD2af71a4f50b3F94509E71a1e9DbDeA5dDa1158485unidade1060027</v>
      </c>
      <c r="D13" s="13" t="s">
        <v>74</v>
      </c>
      <c r="E13" s="8" t="s">
        <v>976</v>
      </c>
      <c r="F13" s="8">
        <f t="shared" si="6"/>
        <v>0</v>
      </c>
      <c r="G13" s="8">
        <f t="shared" si="1"/>
        <v>0</v>
      </c>
      <c r="H13" s="8">
        <f t="shared" si="1"/>
        <v>1</v>
      </c>
      <c r="I13" s="8">
        <f t="shared" si="1"/>
        <v>1</v>
      </c>
      <c r="J13" s="8">
        <f t="shared" si="2"/>
        <v>1</v>
      </c>
      <c r="K13" s="15">
        <v>5.7870369346346706E-5</v>
      </c>
      <c r="M13" s="8">
        <f t="shared" si="4"/>
        <v>108</v>
      </c>
      <c r="N13" s="9" t="s">
        <v>15</v>
      </c>
      <c r="O13" s="9" t="s">
        <v>16</v>
      </c>
      <c r="P13" s="9">
        <v>1158</v>
      </c>
      <c r="Q13" s="9">
        <v>485</v>
      </c>
      <c r="R13" s="8" t="s">
        <v>17</v>
      </c>
      <c r="S13" s="11">
        <v>106</v>
      </c>
      <c r="T13" s="10">
        <v>0.27</v>
      </c>
      <c r="X13" s="20"/>
      <c r="Y13" s="20"/>
    </row>
    <row r="14" spans="1:25" x14ac:dyDescent="0.3">
      <c r="A14" s="7">
        <f t="shared" si="5"/>
        <v>9</v>
      </c>
      <c r="B14" s="8">
        <v>206</v>
      </c>
      <c r="C14" s="9" t="str">
        <f t="shared" si="3"/>
        <v>1090x85185fe3A4e36079818Ba1d12705A9B6898996580xa60AdD2af71a4f50b3F94509E71a1e9DbDeA5dDa1299447unidade1640027</v>
      </c>
      <c r="D14" s="13" t="s">
        <v>75</v>
      </c>
      <c r="E14" s="8" t="s">
        <v>977</v>
      </c>
      <c r="F14" s="8">
        <f t="shared" si="6"/>
        <v>0</v>
      </c>
      <c r="G14" s="8">
        <f t="shared" si="1"/>
        <v>0</v>
      </c>
      <c r="H14" s="8">
        <f t="shared" si="1"/>
        <v>8</v>
      </c>
      <c r="I14" s="8">
        <f t="shared" si="1"/>
        <v>1</v>
      </c>
      <c r="J14" s="8">
        <f t="shared" si="2"/>
        <v>8</v>
      </c>
      <c r="K14" s="15">
        <v>5.7870369346346706E-5</v>
      </c>
      <c r="M14" s="8">
        <f t="shared" si="4"/>
        <v>109</v>
      </c>
      <c r="N14" s="9" t="s">
        <v>15</v>
      </c>
      <c r="O14" s="9" t="s">
        <v>16</v>
      </c>
      <c r="P14" s="9">
        <v>1299</v>
      </c>
      <c r="Q14" s="9">
        <v>447</v>
      </c>
      <c r="R14" s="8" t="s">
        <v>17</v>
      </c>
      <c r="S14" s="11">
        <v>164</v>
      </c>
      <c r="T14" s="10">
        <v>0.27</v>
      </c>
      <c r="X14" s="20"/>
      <c r="Y14" s="20"/>
    </row>
    <row r="15" spans="1:25" x14ac:dyDescent="0.3">
      <c r="A15" s="7">
        <f t="shared" si="5"/>
        <v>10</v>
      </c>
      <c r="B15" s="8">
        <v>8</v>
      </c>
      <c r="C15" s="9" t="str">
        <f t="shared" si="3"/>
        <v>1100x85185fe3A4e36079818Ba1d12705A9B6898996580xa60AdD2af71a4f50b3F94509E71a1e9DbDeA5dDa1998175unidade960027</v>
      </c>
      <c r="D15" s="13" t="s">
        <v>76</v>
      </c>
      <c r="E15" s="8" t="s">
        <v>978</v>
      </c>
      <c r="F15" s="8">
        <f t="shared" si="6"/>
        <v>0</v>
      </c>
      <c r="G15" s="8">
        <f t="shared" si="1"/>
        <v>0</v>
      </c>
      <c r="H15" s="8">
        <f t="shared" si="1"/>
        <v>8</v>
      </c>
      <c r="I15" s="8">
        <f t="shared" si="1"/>
        <v>1</v>
      </c>
      <c r="J15" s="8">
        <f t="shared" si="2"/>
        <v>8</v>
      </c>
      <c r="K15" s="15">
        <v>0</v>
      </c>
      <c r="M15" s="8">
        <f t="shared" si="4"/>
        <v>110</v>
      </c>
      <c r="N15" s="9" t="s">
        <v>15</v>
      </c>
      <c r="O15" s="9" t="s">
        <v>16</v>
      </c>
      <c r="P15" s="9">
        <v>1998</v>
      </c>
      <c r="Q15" s="9">
        <v>175</v>
      </c>
      <c r="R15" s="8" t="s">
        <v>17</v>
      </c>
      <c r="S15" s="11">
        <v>96</v>
      </c>
      <c r="T15" s="10">
        <v>0.27</v>
      </c>
      <c r="X15" s="20"/>
      <c r="Y15" s="20"/>
    </row>
    <row r="16" spans="1:25" x14ac:dyDescent="0.3">
      <c r="A16" s="7">
        <f t="shared" si="5"/>
        <v>11</v>
      </c>
      <c r="B16" s="8">
        <v>215</v>
      </c>
      <c r="C16" s="9" t="str">
        <f t="shared" si="3"/>
        <v>1110x85185fe3A4e36079818Ba1d12705A9B6898996580xa60AdD2af71a4f50b3F94509E71a1e9DbDeA5dDa1382404unidade1410027</v>
      </c>
      <c r="D16" s="13" t="s">
        <v>77</v>
      </c>
      <c r="E16" s="8" t="s">
        <v>478</v>
      </c>
      <c r="F16" s="8">
        <f t="shared" si="6"/>
        <v>0</v>
      </c>
      <c r="G16" s="8">
        <f t="shared" si="1"/>
        <v>0</v>
      </c>
      <c r="H16" s="8">
        <f t="shared" si="1"/>
        <v>0</v>
      </c>
      <c r="I16" s="8">
        <f t="shared" si="1"/>
        <v>8</v>
      </c>
      <c r="J16" s="8">
        <f t="shared" si="2"/>
        <v>0</v>
      </c>
      <c r="K16" s="15">
        <v>5.7870369346346706E-5</v>
      </c>
      <c r="M16" s="8">
        <f t="shared" si="4"/>
        <v>111</v>
      </c>
      <c r="N16" s="9" t="s">
        <v>15</v>
      </c>
      <c r="O16" s="9" t="s">
        <v>16</v>
      </c>
      <c r="P16" s="9">
        <v>1382</v>
      </c>
      <c r="Q16" s="9">
        <v>404</v>
      </c>
      <c r="R16" s="8" t="s">
        <v>17</v>
      </c>
      <c r="S16" s="11">
        <v>141</v>
      </c>
      <c r="T16" s="10">
        <v>0.27</v>
      </c>
      <c r="X16" s="20"/>
      <c r="Y16" s="20"/>
    </row>
    <row r="17" spans="1:25" x14ac:dyDescent="0.3">
      <c r="A17" s="7">
        <f t="shared" si="5"/>
        <v>12</v>
      </c>
      <c r="B17" s="8">
        <v>227</v>
      </c>
      <c r="C17" s="9" t="str">
        <f t="shared" si="3"/>
        <v>1120x85185fe3A4e36079818Ba1d12705A9B6898996580xa60AdD2af71a4f50b3F94509E71a1e9DbDeA5dDa1144228unidade1110027</v>
      </c>
      <c r="D17" s="13" t="s">
        <v>78</v>
      </c>
      <c r="E17" s="8" t="s">
        <v>979</v>
      </c>
      <c r="F17" s="8">
        <f t="shared" si="6"/>
        <v>0</v>
      </c>
      <c r="G17" s="8">
        <f t="shared" si="1"/>
        <v>0</v>
      </c>
      <c r="H17" s="8">
        <f t="shared" si="1"/>
        <v>2</v>
      </c>
      <c r="I17" s="8">
        <f t="shared" si="1"/>
        <v>1</v>
      </c>
      <c r="J17" s="8">
        <f t="shared" si="2"/>
        <v>2</v>
      </c>
      <c r="K17" s="15">
        <v>6.9444446125999093E-5</v>
      </c>
      <c r="M17" s="8">
        <f t="shared" si="4"/>
        <v>112</v>
      </c>
      <c r="N17" s="9" t="s">
        <v>15</v>
      </c>
      <c r="O17" s="9" t="s">
        <v>16</v>
      </c>
      <c r="P17" s="9">
        <v>1144</v>
      </c>
      <c r="Q17" s="9">
        <v>228</v>
      </c>
      <c r="R17" s="8" t="s">
        <v>17</v>
      </c>
      <c r="S17" s="11">
        <v>111</v>
      </c>
      <c r="T17" s="10">
        <v>0.27</v>
      </c>
      <c r="X17" s="20"/>
      <c r="Y17" s="20"/>
    </row>
    <row r="18" spans="1:25" x14ac:dyDescent="0.3">
      <c r="A18" s="7">
        <f t="shared" si="5"/>
        <v>13</v>
      </c>
      <c r="B18" s="8">
        <v>404</v>
      </c>
      <c r="C18" s="9" t="str">
        <f t="shared" si="3"/>
        <v>1130x85185fe3A4e36079818Ba1d12705A9B6898996580xa60AdD2af71a4f50b3F94509E71a1e9DbDeA5dDa1604436unidade900027</v>
      </c>
      <c r="D18" s="13" t="s">
        <v>79</v>
      </c>
      <c r="E18" s="8" t="s">
        <v>980</v>
      </c>
      <c r="F18" s="8">
        <f t="shared" si="6"/>
        <v>0</v>
      </c>
      <c r="G18" s="8">
        <f t="shared" si="1"/>
        <v>0</v>
      </c>
      <c r="H18" s="8">
        <f t="shared" si="1"/>
        <v>4</v>
      </c>
      <c r="I18" s="8">
        <f t="shared" si="1"/>
        <v>6</v>
      </c>
      <c r="J18" s="8">
        <f t="shared" si="2"/>
        <v>4</v>
      </c>
      <c r="K18" s="15">
        <v>1.0416666918899864E-4</v>
      </c>
      <c r="M18" s="8">
        <f t="shared" si="4"/>
        <v>113</v>
      </c>
      <c r="N18" s="9" t="s">
        <v>15</v>
      </c>
      <c r="O18" s="9" t="s">
        <v>16</v>
      </c>
      <c r="P18" s="9">
        <v>1604</v>
      </c>
      <c r="Q18" s="9">
        <v>436</v>
      </c>
      <c r="R18" s="8" t="s">
        <v>17</v>
      </c>
      <c r="S18" s="11">
        <v>90</v>
      </c>
      <c r="T18" s="10">
        <v>0.27</v>
      </c>
      <c r="X18" s="20"/>
      <c r="Y18" s="20"/>
    </row>
    <row r="19" spans="1:25" x14ac:dyDescent="0.3">
      <c r="A19" s="7">
        <f t="shared" si="5"/>
        <v>14</v>
      </c>
      <c r="B19" s="8">
        <v>347</v>
      </c>
      <c r="C19" s="9" t="str">
        <f t="shared" si="3"/>
        <v>1140x85185fe3A4e36079818Ba1d12705A9B6898996580xa60AdD2af71a4f50b3F94509E71a1e9DbDeA5dDa1699231unidade860027</v>
      </c>
      <c r="D19" s="13" t="s">
        <v>80</v>
      </c>
      <c r="E19" s="8" t="s">
        <v>981</v>
      </c>
      <c r="F19" s="8">
        <f t="shared" si="6"/>
        <v>0</v>
      </c>
      <c r="G19" s="8">
        <f t="shared" si="1"/>
        <v>0</v>
      </c>
      <c r="H19" s="8">
        <f t="shared" si="1"/>
        <v>1</v>
      </c>
      <c r="I19" s="8">
        <f t="shared" si="1"/>
        <v>1</v>
      </c>
      <c r="J19" s="8">
        <f t="shared" si="2"/>
        <v>1</v>
      </c>
      <c r="K19" s="15">
        <v>8.1018515629693866E-5</v>
      </c>
      <c r="M19" s="8">
        <f t="shared" si="4"/>
        <v>114</v>
      </c>
      <c r="N19" s="9" t="s">
        <v>15</v>
      </c>
      <c r="O19" s="9" t="s">
        <v>16</v>
      </c>
      <c r="P19" s="9">
        <v>1699</v>
      </c>
      <c r="Q19" s="9">
        <v>231</v>
      </c>
      <c r="R19" s="8" t="s">
        <v>17</v>
      </c>
      <c r="S19" s="11">
        <v>86</v>
      </c>
      <c r="T19" s="10">
        <v>0.27</v>
      </c>
      <c r="X19" s="20"/>
      <c r="Y19" s="20"/>
    </row>
    <row r="20" spans="1:25" x14ac:dyDescent="0.3">
      <c r="A20" s="7">
        <f t="shared" si="5"/>
        <v>15</v>
      </c>
      <c r="B20" s="8">
        <v>129</v>
      </c>
      <c r="C20" s="9" t="str">
        <f t="shared" si="3"/>
        <v>1150x85185fe3A4e36079818Ba1d12705A9B6898996580xa60AdD2af71a4f50b3F94509E71a1e9DbDeA5dDa1634262unidade970027</v>
      </c>
      <c r="D20" s="13" t="s">
        <v>81</v>
      </c>
      <c r="E20" s="8" t="s">
        <v>982</v>
      </c>
      <c r="F20" s="8">
        <f t="shared" si="6"/>
        <v>0</v>
      </c>
      <c r="G20" s="8">
        <f t="shared" si="1"/>
        <v>0</v>
      </c>
      <c r="H20" s="8">
        <f t="shared" si="1"/>
        <v>1</v>
      </c>
      <c r="I20" s="8">
        <f t="shared" si="1"/>
        <v>6</v>
      </c>
      <c r="J20" s="8">
        <f t="shared" si="2"/>
        <v>1</v>
      </c>
      <c r="K20" s="15">
        <v>3.4722223062999547E-5</v>
      </c>
      <c r="M20" s="8">
        <f t="shared" si="4"/>
        <v>115</v>
      </c>
      <c r="N20" s="9" t="s">
        <v>15</v>
      </c>
      <c r="O20" s="9" t="s">
        <v>16</v>
      </c>
      <c r="P20" s="9">
        <v>1634</v>
      </c>
      <c r="Q20" s="9">
        <v>262</v>
      </c>
      <c r="R20" s="8" t="s">
        <v>17</v>
      </c>
      <c r="S20" s="11">
        <v>97</v>
      </c>
      <c r="T20" s="10">
        <v>0.27</v>
      </c>
      <c r="X20" s="20"/>
      <c r="Y20" s="20"/>
    </row>
    <row r="21" spans="1:25" x14ac:dyDescent="0.3">
      <c r="A21" s="7">
        <f t="shared" si="5"/>
        <v>16</v>
      </c>
      <c r="B21" s="8">
        <v>52</v>
      </c>
      <c r="C21" s="9" t="str">
        <f t="shared" si="3"/>
        <v>1160x85185fe3A4e36079818Ba1d12705A9B6898996580xa60AdD2af71a4f50b3F94509E71a1e9DbDeA5dDa1114443unidade2170027</v>
      </c>
      <c r="D21" s="13" t="s">
        <v>82</v>
      </c>
      <c r="E21" s="8" t="s">
        <v>983</v>
      </c>
      <c r="F21" s="8">
        <f t="shared" si="6"/>
        <v>0</v>
      </c>
      <c r="G21" s="8">
        <f t="shared" si="6"/>
        <v>0</v>
      </c>
      <c r="H21" s="8">
        <f t="shared" si="6"/>
        <v>8</v>
      </c>
      <c r="I21" s="8">
        <f t="shared" si="6"/>
        <v>6</v>
      </c>
      <c r="J21" s="8">
        <f t="shared" si="2"/>
        <v>8</v>
      </c>
      <c r="K21" s="15">
        <v>1.1574076779652387E-5</v>
      </c>
      <c r="M21" s="8">
        <f t="shared" si="4"/>
        <v>116</v>
      </c>
      <c r="N21" s="9" t="s">
        <v>15</v>
      </c>
      <c r="O21" s="9" t="s">
        <v>16</v>
      </c>
      <c r="P21" s="9">
        <v>1114</v>
      </c>
      <c r="Q21" s="9">
        <v>443</v>
      </c>
      <c r="R21" s="8" t="s">
        <v>17</v>
      </c>
      <c r="S21" s="11">
        <v>217</v>
      </c>
      <c r="T21" s="10">
        <v>0.27</v>
      </c>
      <c r="X21" s="20"/>
      <c r="Y21" s="20"/>
    </row>
    <row r="22" spans="1:25" x14ac:dyDescent="0.3">
      <c r="A22" s="7">
        <f t="shared" si="5"/>
        <v>17</v>
      </c>
      <c r="B22" s="8">
        <v>187</v>
      </c>
      <c r="C22" s="9" t="str">
        <f t="shared" si="3"/>
        <v>1170x85185fe3A4e36079818Ba1d12705A9B6898996580xa60AdD2af71a4f50b3F94509E71a1e9DbDeA5dDa1124182unidade650027</v>
      </c>
      <c r="D22" s="13" t="s">
        <v>83</v>
      </c>
      <c r="E22" s="8" t="s">
        <v>984</v>
      </c>
      <c r="F22" s="8">
        <f t="shared" si="6"/>
        <v>0</v>
      </c>
      <c r="G22" s="8">
        <f t="shared" si="6"/>
        <v>0</v>
      </c>
      <c r="H22" s="8">
        <f t="shared" si="6"/>
        <v>1</v>
      </c>
      <c r="I22" s="8">
        <f t="shared" si="6"/>
        <v>5</v>
      </c>
      <c r="J22" s="8">
        <f t="shared" si="2"/>
        <v>1</v>
      </c>
      <c r="K22" s="15">
        <v>5.7870369346346706E-5</v>
      </c>
      <c r="M22" s="8">
        <f t="shared" si="4"/>
        <v>117</v>
      </c>
      <c r="N22" s="9" t="s">
        <v>15</v>
      </c>
      <c r="O22" s="9" t="s">
        <v>16</v>
      </c>
      <c r="P22" s="9">
        <v>1124</v>
      </c>
      <c r="Q22" s="9">
        <v>182</v>
      </c>
      <c r="R22" s="8" t="s">
        <v>17</v>
      </c>
      <c r="S22" s="11">
        <v>65</v>
      </c>
      <c r="T22" s="10">
        <v>0.27</v>
      </c>
      <c r="X22" s="20"/>
      <c r="Y22" s="20"/>
    </row>
    <row r="23" spans="1:25" x14ac:dyDescent="0.3">
      <c r="A23" s="7">
        <f t="shared" si="5"/>
        <v>18</v>
      </c>
      <c r="B23" s="8">
        <v>488</v>
      </c>
      <c r="C23" s="9" t="str">
        <f t="shared" si="3"/>
        <v>1180x85185fe3A4e36079818Ba1d12705A9B6898996580xa60AdD2af71a4f50b3F94509E71a1e9DbDeA5dDa1821215unidade630027</v>
      </c>
      <c r="D23" s="13" t="s">
        <v>84</v>
      </c>
      <c r="E23" s="8" t="s">
        <v>985</v>
      </c>
      <c r="F23" s="8">
        <f t="shared" si="6"/>
        <v>0</v>
      </c>
      <c r="G23" s="8">
        <f t="shared" si="6"/>
        <v>0</v>
      </c>
      <c r="H23" s="8">
        <f t="shared" si="6"/>
        <v>4</v>
      </c>
      <c r="I23" s="8">
        <f t="shared" si="6"/>
        <v>1</v>
      </c>
      <c r="J23" s="8">
        <f t="shared" si="2"/>
        <v>4</v>
      </c>
      <c r="K23" s="15">
        <v>1.273148154723458E-4</v>
      </c>
      <c r="M23" s="8">
        <f t="shared" si="4"/>
        <v>118</v>
      </c>
      <c r="N23" s="9" t="s">
        <v>15</v>
      </c>
      <c r="O23" s="9" t="s">
        <v>16</v>
      </c>
      <c r="P23" s="9">
        <v>1821</v>
      </c>
      <c r="Q23" s="9">
        <v>215</v>
      </c>
      <c r="R23" s="8" t="s">
        <v>17</v>
      </c>
      <c r="S23" s="11">
        <v>63</v>
      </c>
      <c r="T23" s="10">
        <v>0.27</v>
      </c>
      <c r="X23" s="20"/>
      <c r="Y23" s="20"/>
    </row>
    <row r="24" spans="1:25" x14ac:dyDescent="0.3">
      <c r="A24" s="7">
        <f t="shared" si="5"/>
        <v>19</v>
      </c>
      <c r="B24" s="8">
        <v>72</v>
      </c>
      <c r="C24" s="9" t="str">
        <f t="shared" si="3"/>
        <v>1190x85185fe3A4e36079818Ba1d12705A9B6898996580xa60AdD2af71a4f50b3F94509E71a1e9DbDeA5dDa1371174unidade2400027</v>
      </c>
      <c r="D24" s="13" t="s">
        <v>85</v>
      </c>
      <c r="E24" s="8" t="s">
        <v>986</v>
      </c>
      <c r="F24" s="8">
        <f t="shared" si="6"/>
        <v>0</v>
      </c>
      <c r="G24" s="8">
        <f t="shared" si="6"/>
        <v>0</v>
      </c>
      <c r="H24" s="8">
        <f t="shared" si="6"/>
        <v>1</v>
      </c>
      <c r="I24" s="8">
        <f t="shared" si="6"/>
        <v>7</v>
      </c>
      <c r="J24" s="8">
        <f t="shared" si="2"/>
        <v>1</v>
      </c>
      <c r="K24" s="15">
        <v>1.1574069503694773E-5</v>
      </c>
      <c r="M24" s="8">
        <f t="shared" si="4"/>
        <v>119</v>
      </c>
      <c r="N24" s="9" t="s">
        <v>15</v>
      </c>
      <c r="O24" s="9" t="s">
        <v>16</v>
      </c>
      <c r="P24" s="9">
        <v>1371</v>
      </c>
      <c r="Q24" s="9">
        <v>174</v>
      </c>
      <c r="R24" s="8" t="s">
        <v>17</v>
      </c>
      <c r="S24" s="11">
        <v>240</v>
      </c>
      <c r="T24" s="10">
        <v>0.27</v>
      </c>
      <c r="X24" s="20"/>
      <c r="Y24" s="20"/>
    </row>
    <row r="25" spans="1:25" x14ac:dyDescent="0.3">
      <c r="A25" s="7">
        <f t="shared" si="5"/>
        <v>20</v>
      </c>
      <c r="B25" s="8">
        <v>38</v>
      </c>
      <c r="C25" s="9" t="str">
        <f t="shared" si="3"/>
        <v>1200x85185fe3A4e36079818Ba1d12705A9B6898996580xa60AdD2af71a4f50b3F94509E71a1e9DbDeA5dDa1844486unidade540027</v>
      </c>
      <c r="D25" s="13" t="s">
        <v>86</v>
      </c>
      <c r="E25" s="8" t="s">
        <v>987</v>
      </c>
      <c r="F25" s="8">
        <f t="shared" si="6"/>
        <v>0</v>
      </c>
      <c r="G25" s="8">
        <f t="shared" si="6"/>
        <v>0</v>
      </c>
      <c r="H25" s="8">
        <f t="shared" si="6"/>
        <v>8</v>
      </c>
      <c r="I25" s="8">
        <f t="shared" si="6"/>
        <v>1</v>
      </c>
      <c r="J25" s="8">
        <f t="shared" si="2"/>
        <v>8</v>
      </c>
      <c r="K25" s="15">
        <v>0</v>
      </c>
      <c r="M25" s="8">
        <f t="shared" si="4"/>
        <v>120</v>
      </c>
      <c r="N25" s="9" t="s">
        <v>15</v>
      </c>
      <c r="O25" s="9" t="s">
        <v>16</v>
      </c>
      <c r="P25" s="9">
        <v>1844</v>
      </c>
      <c r="Q25" s="9">
        <v>486</v>
      </c>
      <c r="R25" s="8" t="s">
        <v>17</v>
      </c>
      <c r="S25" s="11">
        <v>54</v>
      </c>
      <c r="T25" s="10">
        <v>0.27</v>
      </c>
      <c r="X25" s="20"/>
      <c r="Y25" s="20"/>
    </row>
    <row r="26" spans="1:25" x14ac:dyDescent="0.3">
      <c r="A26" s="7">
        <f t="shared" si="5"/>
        <v>21</v>
      </c>
      <c r="B26" s="8">
        <v>162</v>
      </c>
      <c r="C26" s="9" t="str">
        <f t="shared" si="3"/>
        <v>1210x85185fe3A4e36079818Ba1d12705A9B6898996580xa60AdD2af71a4f50b3F94509E71a1e9DbDeA5dDa1369258unidade520027</v>
      </c>
      <c r="D26" s="13" t="s">
        <v>87</v>
      </c>
      <c r="E26" s="8" t="s">
        <v>988</v>
      </c>
      <c r="F26" s="8">
        <f t="shared" si="6"/>
        <v>0</v>
      </c>
      <c r="G26" s="8">
        <f t="shared" si="6"/>
        <v>0</v>
      </c>
      <c r="H26" s="8">
        <f t="shared" si="6"/>
        <v>1</v>
      </c>
      <c r="I26" s="8">
        <f t="shared" si="6"/>
        <v>6</v>
      </c>
      <c r="J26" s="8">
        <f t="shared" si="2"/>
        <v>1</v>
      </c>
      <c r="K26" s="15">
        <v>3.4722215787041932E-5</v>
      </c>
      <c r="M26" s="8">
        <f t="shared" si="4"/>
        <v>121</v>
      </c>
      <c r="N26" s="9" t="s">
        <v>15</v>
      </c>
      <c r="O26" s="9" t="s">
        <v>16</v>
      </c>
      <c r="P26" s="9">
        <v>1369</v>
      </c>
      <c r="Q26" s="9">
        <v>258</v>
      </c>
      <c r="R26" s="8" t="s">
        <v>17</v>
      </c>
      <c r="S26" s="11">
        <v>52</v>
      </c>
      <c r="T26" s="10">
        <v>0.27</v>
      </c>
      <c r="X26" s="20"/>
      <c r="Y26" s="20"/>
    </row>
    <row r="27" spans="1:25" x14ac:dyDescent="0.3">
      <c r="A27" s="7">
        <f t="shared" si="5"/>
        <v>22</v>
      </c>
      <c r="B27" s="8">
        <v>16</v>
      </c>
      <c r="C27" s="9" t="str">
        <f t="shared" si="3"/>
        <v>1220x85185fe3A4e36079818Ba1d12705A9B6898996580xa60AdD2af71a4f50b3F94509E71a1e9DbDeA5dDa1536170unidade1950027</v>
      </c>
      <c r="D27" s="13" t="s">
        <v>88</v>
      </c>
      <c r="E27" s="8" t="s">
        <v>989</v>
      </c>
      <c r="F27" s="8">
        <f t="shared" si="6"/>
        <v>0</v>
      </c>
      <c r="G27" s="8">
        <f t="shared" si="6"/>
        <v>0</v>
      </c>
      <c r="H27" s="8">
        <f t="shared" si="6"/>
        <v>1</v>
      </c>
      <c r="I27" s="8">
        <f t="shared" si="6"/>
        <v>1</v>
      </c>
      <c r="J27" s="8">
        <f t="shared" si="2"/>
        <v>1</v>
      </c>
      <c r="K27" s="15">
        <v>1.1574076779652387E-5</v>
      </c>
      <c r="M27" s="8">
        <f t="shared" si="4"/>
        <v>122</v>
      </c>
      <c r="N27" s="9" t="s">
        <v>15</v>
      </c>
      <c r="O27" s="9" t="s">
        <v>16</v>
      </c>
      <c r="P27" s="9">
        <v>1536</v>
      </c>
      <c r="Q27" s="9">
        <v>170</v>
      </c>
      <c r="R27" s="8" t="s">
        <v>17</v>
      </c>
      <c r="S27" s="11">
        <v>195</v>
      </c>
      <c r="T27" s="10">
        <v>0.27</v>
      </c>
      <c r="X27" s="20"/>
      <c r="Y27" s="20"/>
    </row>
    <row r="28" spans="1:25" x14ac:dyDescent="0.3">
      <c r="A28" s="7">
        <f t="shared" si="5"/>
        <v>23</v>
      </c>
      <c r="B28" s="8">
        <v>38</v>
      </c>
      <c r="C28" s="9" t="str">
        <f t="shared" si="3"/>
        <v>1230x85185fe3A4e36079818Ba1d12705A9B6898996580xa60AdD2af71a4f50b3F94509E71a1e9DbDeA5dDa1798140unidade1080027</v>
      </c>
      <c r="D28" s="13" t="s">
        <v>89</v>
      </c>
      <c r="E28" s="8" t="s">
        <v>990</v>
      </c>
      <c r="F28" s="8">
        <f t="shared" si="6"/>
        <v>0</v>
      </c>
      <c r="G28" s="8">
        <f t="shared" si="6"/>
        <v>0</v>
      </c>
      <c r="H28" s="8">
        <f t="shared" si="6"/>
        <v>1</v>
      </c>
      <c r="I28" s="8">
        <f t="shared" si="6"/>
        <v>1</v>
      </c>
      <c r="J28" s="8">
        <f t="shared" si="2"/>
        <v>1</v>
      </c>
      <c r="K28" s="15">
        <v>1.1574076779652387E-5</v>
      </c>
      <c r="M28" s="8">
        <f t="shared" si="4"/>
        <v>123</v>
      </c>
      <c r="N28" s="9" t="s">
        <v>15</v>
      </c>
      <c r="O28" s="9" t="s">
        <v>16</v>
      </c>
      <c r="P28" s="9">
        <v>1798</v>
      </c>
      <c r="Q28" s="9">
        <v>140</v>
      </c>
      <c r="R28" s="8" t="s">
        <v>17</v>
      </c>
      <c r="S28" s="11">
        <v>108</v>
      </c>
      <c r="T28" s="10">
        <v>0.27</v>
      </c>
      <c r="X28" s="20"/>
      <c r="Y28" s="20"/>
    </row>
    <row r="29" spans="1:25" x14ac:dyDescent="0.3">
      <c r="A29" s="7">
        <f t="shared" si="5"/>
        <v>24</v>
      </c>
      <c r="B29" s="8">
        <v>55</v>
      </c>
      <c r="C29" s="9" t="str">
        <f t="shared" si="3"/>
        <v>1240x85185fe3A4e36079818Ba1d12705A9B6898996580xa60AdD2af71a4f50b3F94509E71a1e9DbDeA5dDa1379125unidade1690027</v>
      </c>
      <c r="D29" s="13" t="s">
        <v>90</v>
      </c>
      <c r="E29" s="8" t="s">
        <v>991</v>
      </c>
      <c r="F29" s="8">
        <f t="shared" si="6"/>
        <v>0</v>
      </c>
      <c r="G29" s="8">
        <f t="shared" si="6"/>
        <v>0</v>
      </c>
      <c r="H29" s="8">
        <f t="shared" si="6"/>
        <v>5</v>
      </c>
      <c r="I29" s="8">
        <f t="shared" si="6"/>
        <v>6</v>
      </c>
      <c r="J29" s="8">
        <f t="shared" si="2"/>
        <v>5</v>
      </c>
      <c r="K29" s="15">
        <v>1.1574069503694773E-5</v>
      </c>
      <c r="M29" s="8">
        <f t="shared" si="4"/>
        <v>124</v>
      </c>
      <c r="N29" s="9" t="s">
        <v>15</v>
      </c>
      <c r="O29" s="9" t="s">
        <v>16</v>
      </c>
      <c r="P29" s="9">
        <v>1379</v>
      </c>
      <c r="Q29" s="9">
        <v>125</v>
      </c>
      <c r="R29" s="8" t="s">
        <v>17</v>
      </c>
      <c r="S29" s="11">
        <v>169</v>
      </c>
      <c r="T29" s="10">
        <v>0.27</v>
      </c>
      <c r="X29" s="20"/>
      <c r="Y29" s="20"/>
    </row>
    <row r="30" spans="1:25" x14ac:dyDescent="0.3">
      <c r="A30" s="7">
        <f t="shared" si="5"/>
        <v>25</v>
      </c>
      <c r="B30" s="8">
        <v>164</v>
      </c>
      <c r="C30" s="9" t="str">
        <f t="shared" si="3"/>
        <v>1250x85185fe3A4e36079818Ba1d12705A9B6898996580xa60AdD2af71a4f50b3F94509E71a1e9DbDeA5dDa1652298unidade1070027</v>
      </c>
      <c r="D30" s="13" t="s">
        <v>91</v>
      </c>
      <c r="E30" s="8" t="s">
        <v>992</v>
      </c>
      <c r="F30" s="8">
        <f t="shared" si="6"/>
        <v>0</v>
      </c>
      <c r="G30" s="8">
        <f t="shared" si="6"/>
        <v>0</v>
      </c>
      <c r="H30" s="8">
        <f t="shared" si="6"/>
        <v>7</v>
      </c>
      <c r="I30" s="8">
        <f t="shared" si="6"/>
        <v>1</v>
      </c>
      <c r="J30" s="8">
        <f t="shared" si="2"/>
        <v>7</v>
      </c>
      <c r="K30" s="15">
        <v>4.6296299842651933E-5</v>
      </c>
      <c r="M30" s="8">
        <f t="shared" si="4"/>
        <v>125</v>
      </c>
      <c r="N30" s="9" t="s">
        <v>15</v>
      </c>
      <c r="O30" s="9" t="s">
        <v>16</v>
      </c>
      <c r="P30" s="9">
        <v>1652</v>
      </c>
      <c r="Q30" s="9">
        <v>298</v>
      </c>
      <c r="R30" s="8" t="s">
        <v>17</v>
      </c>
      <c r="S30" s="11">
        <v>107</v>
      </c>
      <c r="T30" s="10">
        <v>0.27</v>
      </c>
      <c r="X30" s="20"/>
      <c r="Y30" s="20"/>
    </row>
    <row r="31" spans="1:25" x14ac:dyDescent="0.3">
      <c r="A31" s="7">
        <f t="shared" si="5"/>
        <v>26</v>
      </c>
      <c r="B31" s="8">
        <v>110</v>
      </c>
      <c r="C31" s="9" t="str">
        <f t="shared" si="3"/>
        <v>1260x85185fe3A4e36079818Ba1d12705A9B6898996580xa60AdD2af71a4f50b3F94509E71a1e9DbDeA5dDa1142141unidade1050027</v>
      </c>
      <c r="D31" s="13" t="s">
        <v>92</v>
      </c>
      <c r="E31" s="8" t="s">
        <v>993</v>
      </c>
      <c r="F31" s="8">
        <f t="shared" si="6"/>
        <v>0</v>
      </c>
      <c r="G31" s="8">
        <f t="shared" si="6"/>
        <v>0</v>
      </c>
      <c r="H31" s="8">
        <f t="shared" si="6"/>
        <v>2</v>
      </c>
      <c r="I31" s="8">
        <f t="shared" si="6"/>
        <v>1</v>
      </c>
      <c r="J31" s="8">
        <f t="shared" si="2"/>
        <v>2</v>
      </c>
      <c r="K31" s="15">
        <v>3.4722223062999547E-5</v>
      </c>
      <c r="M31" s="8">
        <f t="shared" si="4"/>
        <v>126</v>
      </c>
      <c r="N31" s="9" t="s">
        <v>15</v>
      </c>
      <c r="O31" s="9" t="s">
        <v>16</v>
      </c>
      <c r="P31" s="9">
        <v>1142</v>
      </c>
      <c r="Q31" s="9">
        <v>141</v>
      </c>
      <c r="R31" s="8" t="s">
        <v>17</v>
      </c>
      <c r="S31" s="11">
        <v>105</v>
      </c>
      <c r="T31" s="10">
        <v>0.27</v>
      </c>
      <c r="X31" s="20"/>
      <c r="Y31" s="20"/>
    </row>
    <row r="32" spans="1:25" x14ac:dyDescent="0.3">
      <c r="A32" s="7">
        <f t="shared" si="5"/>
        <v>27</v>
      </c>
      <c r="B32" s="8">
        <v>5</v>
      </c>
      <c r="C32" s="9" t="str">
        <f t="shared" si="3"/>
        <v>1270x85185fe3A4e36079818Ba1d12705A9B6898996580xa60AdD2af71a4f50b3F94509E71a1e9DbDeA5dDa1550382unidade1650027</v>
      </c>
      <c r="D32" s="13" t="s">
        <v>93</v>
      </c>
      <c r="E32" s="8" t="s">
        <v>994</v>
      </c>
      <c r="F32" s="8">
        <f t="shared" si="6"/>
        <v>0</v>
      </c>
      <c r="G32" s="8">
        <f t="shared" si="6"/>
        <v>0</v>
      </c>
      <c r="H32" s="8">
        <f t="shared" si="6"/>
        <v>7</v>
      </c>
      <c r="I32" s="8">
        <f t="shared" si="6"/>
        <v>1</v>
      </c>
      <c r="J32" s="8">
        <f t="shared" si="2"/>
        <v>7</v>
      </c>
      <c r="K32" s="15">
        <v>0</v>
      </c>
      <c r="M32" s="8">
        <f t="shared" si="4"/>
        <v>127</v>
      </c>
      <c r="N32" s="9" t="s">
        <v>15</v>
      </c>
      <c r="O32" s="9" t="s">
        <v>16</v>
      </c>
      <c r="P32" s="9">
        <v>1550</v>
      </c>
      <c r="Q32" s="9">
        <v>382</v>
      </c>
      <c r="R32" s="8" t="s">
        <v>17</v>
      </c>
      <c r="S32" s="11">
        <v>165</v>
      </c>
      <c r="T32" s="10">
        <v>0.27</v>
      </c>
      <c r="X32" s="20"/>
      <c r="Y32" s="20"/>
    </row>
    <row r="33" spans="1:25" x14ac:dyDescent="0.3">
      <c r="A33" s="7">
        <f t="shared" si="5"/>
        <v>28</v>
      </c>
      <c r="B33" s="8">
        <v>969</v>
      </c>
      <c r="C33" s="9" t="str">
        <f t="shared" si="3"/>
        <v>1280x85185fe3A4e36079818Ba1d12705A9B6898996580xa60AdD2af71a4f50b3F94509E71a1e9DbDeA5dDa1967266unidade2210027</v>
      </c>
      <c r="D33" s="13" t="s">
        <v>94</v>
      </c>
      <c r="E33" s="8" t="s">
        <v>995</v>
      </c>
      <c r="F33" s="8">
        <f t="shared" si="6"/>
        <v>0</v>
      </c>
      <c r="G33" s="8">
        <f t="shared" si="6"/>
        <v>0</v>
      </c>
      <c r="H33" s="8">
        <f t="shared" si="6"/>
        <v>3</v>
      </c>
      <c r="I33" s="8">
        <f t="shared" si="6"/>
        <v>1</v>
      </c>
      <c r="J33" s="8">
        <f t="shared" si="2"/>
        <v>3</v>
      </c>
      <c r="K33" s="15">
        <v>2.7777777722803876E-4</v>
      </c>
      <c r="M33" s="8">
        <f t="shared" si="4"/>
        <v>128</v>
      </c>
      <c r="N33" s="9" t="s">
        <v>15</v>
      </c>
      <c r="O33" s="9" t="s">
        <v>16</v>
      </c>
      <c r="P33" s="9">
        <v>1967</v>
      </c>
      <c r="Q33" s="9">
        <v>266</v>
      </c>
      <c r="R33" s="8" t="s">
        <v>17</v>
      </c>
      <c r="S33" s="11">
        <v>221</v>
      </c>
      <c r="T33" s="10">
        <v>0.27</v>
      </c>
      <c r="X33" s="20"/>
      <c r="Y33" s="20"/>
    </row>
    <row r="34" spans="1:25" x14ac:dyDescent="0.3">
      <c r="A34" s="7">
        <f t="shared" si="5"/>
        <v>29</v>
      </c>
      <c r="B34" s="8">
        <v>307</v>
      </c>
      <c r="C34" s="9" t="str">
        <f t="shared" si="3"/>
        <v>1290x85185fe3A4e36079818Ba1d12705A9B6898996580xa60AdD2af71a4f50b3F94509E71a1e9DbDeA5dDa1694197unidade590027</v>
      </c>
      <c r="D34" s="13" t="s">
        <v>95</v>
      </c>
      <c r="E34" s="8" t="s">
        <v>996</v>
      </c>
      <c r="F34" s="8">
        <f t="shared" si="6"/>
        <v>0</v>
      </c>
      <c r="G34" s="8">
        <f t="shared" si="6"/>
        <v>0</v>
      </c>
      <c r="H34" s="8">
        <f t="shared" si="6"/>
        <v>2</v>
      </c>
      <c r="I34" s="8">
        <f t="shared" si="6"/>
        <v>6</v>
      </c>
      <c r="J34" s="8">
        <f t="shared" si="2"/>
        <v>2</v>
      </c>
      <c r="K34" s="15">
        <v>8.1018515629693866E-5</v>
      </c>
      <c r="M34" s="8">
        <f t="shared" si="4"/>
        <v>129</v>
      </c>
      <c r="N34" s="9" t="s">
        <v>15</v>
      </c>
      <c r="O34" s="9" t="s">
        <v>16</v>
      </c>
      <c r="P34" s="9">
        <v>1694</v>
      </c>
      <c r="Q34" s="9">
        <v>197</v>
      </c>
      <c r="R34" s="8" t="s">
        <v>17</v>
      </c>
      <c r="S34" s="11">
        <v>59</v>
      </c>
      <c r="T34" s="10">
        <v>0.27</v>
      </c>
      <c r="X34" s="20"/>
      <c r="Y34" s="20"/>
    </row>
    <row r="35" spans="1:25" x14ac:dyDescent="0.3">
      <c r="A35" s="7">
        <f t="shared" si="5"/>
        <v>30</v>
      </c>
      <c r="B35" s="8">
        <v>199</v>
      </c>
      <c r="C35" s="9" t="str">
        <f t="shared" si="3"/>
        <v>1300x85185fe3A4e36079818Ba1d12705A9B6898996580xa60AdD2af71a4f50b3F94509E71a1e9DbDeA5dDa1780163unidade1150027</v>
      </c>
      <c r="D35" s="13" t="s">
        <v>96</v>
      </c>
      <c r="E35" s="8" t="s">
        <v>997</v>
      </c>
      <c r="F35" s="8">
        <f t="shared" si="6"/>
        <v>0</v>
      </c>
      <c r="G35" s="8">
        <f t="shared" si="6"/>
        <v>0</v>
      </c>
      <c r="H35" s="8">
        <f t="shared" si="6"/>
        <v>1</v>
      </c>
      <c r="I35" s="8">
        <f t="shared" si="6"/>
        <v>7</v>
      </c>
      <c r="J35" s="8">
        <f t="shared" si="2"/>
        <v>1</v>
      </c>
      <c r="K35" s="15">
        <v>5.7870369346346706E-5</v>
      </c>
      <c r="M35" s="8">
        <f t="shared" si="4"/>
        <v>130</v>
      </c>
      <c r="N35" s="9" t="s">
        <v>15</v>
      </c>
      <c r="O35" s="9" t="s">
        <v>16</v>
      </c>
      <c r="P35" s="9">
        <v>1780</v>
      </c>
      <c r="Q35" s="9">
        <v>163</v>
      </c>
      <c r="R35" s="8" t="s">
        <v>17</v>
      </c>
      <c r="S35" s="11">
        <v>115</v>
      </c>
      <c r="T35" s="10">
        <v>0.27</v>
      </c>
      <c r="X35" s="20"/>
      <c r="Y35" s="20"/>
    </row>
    <row r="36" spans="1:25" x14ac:dyDescent="0.3">
      <c r="A36" s="7">
        <f t="shared" si="5"/>
        <v>31</v>
      </c>
      <c r="B36" s="8">
        <v>107</v>
      </c>
      <c r="C36" s="9" t="str">
        <f t="shared" si="3"/>
        <v>1310x85185fe3A4e36079818Ba1d12705A9B6898996580xa60AdD2af71a4f50b3F94509E71a1e9DbDeA5dDa1554321unidade500027</v>
      </c>
      <c r="D36" s="13" t="s">
        <v>97</v>
      </c>
      <c r="E36" s="8" t="s">
        <v>998</v>
      </c>
      <c r="F36" s="8">
        <f t="shared" si="6"/>
        <v>0</v>
      </c>
      <c r="G36" s="8">
        <f t="shared" si="6"/>
        <v>0</v>
      </c>
      <c r="H36" s="8">
        <f t="shared" si="6"/>
        <v>9</v>
      </c>
      <c r="I36" s="8">
        <f t="shared" si="6"/>
        <v>7</v>
      </c>
      <c r="J36" s="8">
        <f t="shared" si="2"/>
        <v>9</v>
      </c>
      <c r="K36" s="15">
        <v>2.314814628334716E-5</v>
      </c>
      <c r="M36" s="8">
        <f t="shared" si="4"/>
        <v>131</v>
      </c>
      <c r="N36" s="9" t="s">
        <v>15</v>
      </c>
      <c r="O36" s="9" t="s">
        <v>16</v>
      </c>
      <c r="P36" s="9">
        <v>1554</v>
      </c>
      <c r="Q36" s="9">
        <v>321</v>
      </c>
      <c r="R36" s="8" t="s">
        <v>17</v>
      </c>
      <c r="S36" s="11">
        <v>50</v>
      </c>
      <c r="T36" s="10">
        <v>0.27</v>
      </c>
      <c r="X36" s="20"/>
      <c r="Y36" s="20"/>
    </row>
    <row r="37" spans="1:25" x14ac:dyDescent="0.3">
      <c r="A37" s="7">
        <f t="shared" si="5"/>
        <v>32</v>
      </c>
      <c r="B37" s="8">
        <v>249</v>
      </c>
      <c r="C37" s="9" t="str">
        <f t="shared" si="3"/>
        <v>1320x85185fe3A4e36079818Ba1d12705A9B6898996580xa60AdD2af71a4f50b3F94509E71a1e9DbDeA5dDa1057475unidade1380027</v>
      </c>
      <c r="D37" s="13" t="s">
        <v>98</v>
      </c>
      <c r="E37" s="8" t="s">
        <v>999</v>
      </c>
      <c r="F37" s="8">
        <f t="shared" si="6"/>
        <v>0</v>
      </c>
      <c r="G37" s="8">
        <f t="shared" si="6"/>
        <v>0</v>
      </c>
      <c r="H37" s="8">
        <f t="shared" si="6"/>
        <v>1</v>
      </c>
      <c r="I37" s="8">
        <f t="shared" si="6"/>
        <v>1</v>
      </c>
      <c r="J37" s="8">
        <f t="shared" si="2"/>
        <v>1</v>
      </c>
      <c r="K37" s="15">
        <v>6.9444446125999093E-5</v>
      </c>
      <c r="M37" s="8">
        <f t="shared" si="4"/>
        <v>132</v>
      </c>
      <c r="N37" s="9" t="s">
        <v>15</v>
      </c>
      <c r="O37" s="9" t="s">
        <v>16</v>
      </c>
      <c r="P37" s="9">
        <v>1057</v>
      </c>
      <c r="Q37" s="9">
        <v>475</v>
      </c>
      <c r="R37" s="8" t="s">
        <v>17</v>
      </c>
      <c r="S37" s="11">
        <v>138</v>
      </c>
      <c r="T37" s="10">
        <v>0.27</v>
      </c>
      <c r="X37" s="20"/>
      <c r="Y37" s="20"/>
    </row>
    <row r="38" spans="1:25" x14ac:dyDescent="0.3">
      <c r="A38" s="7">
        <f t="shared" si="5"/>
        <v>33</v>
      </c>
      <c r="B38" s="8">
        <v>53</v>
      </c>
      <c r="C38" s="9" t="str">
        <f t="shared" si="3"/>
        <v>1330x85185fe3A4e36079818Ba1d12705A9B6898996580xa60AdD2af71a4f50b3F94509E71a1e9DbDeA5dDa1553306unidade540027</v>
      </c>
      <c r="D38" s="13" t="s">
        <v>99</v>
      </c>
      <c r="E38" s="8" t="s">
        <v>1000</v>
      </c>
      <c r="F38" s="8">
        <f t="shared" si="6"/>
        <v>0</v>
      </c>
      <c r="G38" s="8">
        <f t="shared" si="6"/>
        <v>0</v>
      </c>
      <c r="H38" s="8">
        <f t="shared" si="6"/>
        <v>1</v>
      </c>
      <c r="I38" s="8">
        <f t="shared" si="6"/>
        <v>2</v>
      </c>
      <c r="J38" s="8">
        <f t="shared" si="2"/>
        <v>1</v>
      </c>
      <c r="K38" s="15">
        <v>1.1574076779652387E-5</v>
      </c>
      <c r="M38" s="8">
        <f t="shared" si="4"/>
        <v>133</v>
      </c>
      <c r="N38" s="9" t="s">
        <v>15</v>
      </c>
      <c r="O38" s="9" t="s">
        <v>16</v>
      </c>
      <c r="P38" s="9">
        <v>1553</v>
      </c>
      <c r="Q38" s="9">
        <v>306</v>
      </c>
      <c r="R38" s="8" t="s">
        <v>17</v>
      </c>
      <c r="S38" s="11">
        <v>54</v>
      </c>
      <c r="T38" s="10">
        <v>0.27</v>
      </c>
      <c r="X38" s="20"/>
      <c r="Y38" s="20"/>
    </row>
    <row r="39" spans="1:25" x14ac:dyDescent="0.3">
      <c r="A39" s="7">
        <f t="shared" si="5"/>
        <v>34</v>
      </c>
      <c r="B39" s="8">
        <v>554</v>
      </c>
      <c r="C39" s="9" t="str">
        <f t="shared" si="3"/>
        <v>1340x85185fe3A4e36079818Ba1d12705A9B6898996580xa60AdD2af71a4f50b3F94509E71a1e9DbDeA5dDa1744417unidade1160027</v>
      </c>
      <c r="D39" s="13" t="s">
        <v>100</v>
      </c>
      <c r="E39" s="8" t="s">
        <v>1001</v>
      </c>
      <c r="F39" s="8">
        <f t="shared" ref="F39:I70" si="7">IFERROR(VALUE(MID($E39,F$1,1)),1)</f>
        <v>0</v>
      </c>
      <c r="G39" s="8">
        <f t="shared" si="7"/>
        <v>0</v>
      </c>
      <c r="H39" s="8">
        <f t="shared" si="7"/>
        <v>1</v>
      </c>
      <c r="I39" s="8">
        <f t="shared" si="7"/>
        <v>1</v>
      </c>
      <c r="J39" s="8">
        <f t="shared" si="2"/>
        <v>1</v>
      </c>
      <c r="K39" s="15">
        <v>1.3888888497604057E-4</v>
      </c>
      <c r="M39" s="8">
        <f t="shared" si="4"/>
        <v>134</v>
      </c>
      <c r="N39" s="9" t="s">
        <v>15</v>
      </c>
      <c r="O39" s="9" t="s">
        <v>16</v>
      </c>
      <c r="P39" s="9">
        <v>1744</v>
      </c>
      <c r="Q39" s="9">
        <v>417</v>
      </c>
      <c r="R39" s="8" t="s">
        <v>17</v>
      </c>
      <c r="S39" s="11">
        <v>116</v>
      </c>
      <c r="T39" s="10">
        <v>0.27</v>
      </c>
      <c r="X39" s="20"/>
      <c r="Y39" s="20"/>
    </row>
    <row r="40" spans="1:25" x14ac:dyDescent="0.3">
      <c r="A40" s="7">
        <f t="shared" si="5"/>
        <v>35</v>
      </c>
      <c r="B40" s="8">
        <v>101</v>
      </c>
      <c r="C40" s="9" t="str">
        <f t="shared" si="3"/>
        <v>1350x85185fe3A4e36079818Ba1d12705A9B6898996580xa60AdD2af71a4f50b3F94509E71a1e9DbDeA5dDa1207150unidade1560027</v>
      </c>
      <c r="D40" s="13" t="s">
        <v>101</v>
      </c>
      <c r="E40" s="8" t="s">
        <v>1002</v>
      </c>
      <c r="F40" s="8">
        <f t="shared" si="7"/>
        <v>0</v>
      </c>
      <c r="G40" s="8">
        <f t="shared" si="7"/>
        <v>0</v>
      </c>
      <c r="H40" s="8">
        <f t="shared" si="7"/>
        <v>1</v>
      </c>
      <c r="I40" s="8">
        <f t="shared" si="7"/>
        <v>1</v>
      </c>
      <c r="J40" s="8">
        <f t="shared" si="2"/>
        <v>1</v>
      </c>
      <c r="K40" s="15">
        <v>2.314814628334716E-5</v>
      </c>
      <c r="M40" s="8">
        <f t="shared" si="4"/>
        <v>135</v>
      </c>
      <c r="N40" s="9" t="s">
        <v>15</v>
      </c>
      <c r="O40" s="9" t="s">
        <v>16</v>
      </c>
      <c r="P40" s="9">
        <v>1207</v>
      </c>
      <c r="Q40" s="9">
        <v>150</v>
      </c>
      <c r="R40" s="8" t="s">
        <v>17</v>
      </c>
      <c r="S40" s="11">
        <v>156</v>
      </c>
      <c r="T40" s="10">
        <v>0.27</v>
      </c>
      <c r="X40" s="20"/>
      <c r="Y40" s="20"/>
    </row>
    <row r="41" spans="1:25" x14ac:dyDescent="0.3">
      <c r="A41" s="7">
        <f t="shared" si="5"/>
        <v>36</v>
      </c>
      <c r="B41" s="8">
        <v>634</v>
      </c>
      <c r="C41" s="9" t="str">
        <f t="shared" si="3"/>
        <v>1360x85185fe3A4e36079818Ba1d12705A9B6898996580xa60AdD2af71a4f50b3F94509E71a1e9DbDeA5dDa1338490unidade820027</v>
      </c>
      <c r="D41" s="13" t="s">
        <v>102</v>
      </c>
      <c r="E41" s="8" t="s">
        <v>1003</v>
      </c>
      <c r="F41" s="8">
        <f t="shared" si="7"/>
        <v>0</v>
      </c>
      <c r="G41" s="8">
        <f t="shared" si="7"/>
        <v>0</v>
      </c>
      <c r="H41" s="8">
        <f t="shared" si="7"/>
        <v>3</v>
      </c>
      <c r="I41" s="8">
        <f t="shared" si="7"/>
        <v>0</v>
      </c>
      <c r="J41" s="8">
        <f t="shared" si="2"/>
        <v>3</v>
      </c>
      <c r="K41" s="15">
        <v>1.6203703853534535E-4</v>
      </c>
      <c r="M41" s="8">
        <f t="shared" si="4"/>
        <v>136</v>
      </c>
      <c r="N41" s="9" t="s">
        <v>15</v>
      </c>
      <c r="O41" s="9" t="s">
        <v>16</v>
      </c>
      <c r="P41" s="9">
        <v>1338</v>
      </c>
      <c r="Q41" s="9">
        <v>490</v>
      </c>
      <c r="R41" s="8" t="s">
        <v>17</v>
      </c>
      <c r="S41" s="11">
        <v>82</v>
      </c>
      <c r="T41" s="10">
        <v>0.27</v>
      </c>
      <c r="X41" s="20"/>
      <c r="Y41" s="20"/>
    </row>
    <row r="42" spans="1:25" x14ac:dyDescent="0.3">
      <c r="A42" s="7">
        <f t="shared" si="5"/>
        <v>37</v>
      </c>
      <c r="B42" s="8">
        <v>152</v>
      </c>
      <c r="C42" s="9" t="str">
        <f t="shared" si="3"/>
        <v>1370x85185fe3A4e36079818Ba1d12705A9B6898996580xa60AdD2af71a4f50b3F94509E71a1e9DbDeA5dDa1188174unidade1140027</v>
      </c>
      <c r="D42" s="13" t="s">
        <v>103</v>
      </c>
      <c r="E42" s="8" t="s">
        <v>1004</v>
      </c>
      <c r="F42" s="8">
        <f t="shared" si="7"/>
        <v>0</v>
      </c>
      <c r="G42" s="8">
        <f t="shared" si="7"/>
        <v>0</v>
      </c>
      <c r="H42" s="8">
        <f t="shared" si="7"/>
        <v>1</v>
      </c>
      <c r="I42" s="8">
        <f t="shared" si="7"/>
        <v>9</v>
      </c>
      <c r="J42" s="8">
        <f t="shared" si="2"/>
        <v>1</v>
      </c>
      <c r="K42" s="15">
        <v>4.6296299842651933E-5</v>
      </c>
      <c r="M42" s="8">
        <f t="shared" si="4"/>
        <v>137</v>
      </c>
      <c r="N42" s="9" t="s">
        <v>15</v>
      </c>
      <c r="O42" s="9" t="s">
        <v>16</v>
      </c>
      <c r="P42" s="9">
        <v>1188</v>
      </c>
      <c r="Q42" s="9">
        <v>174</v>
      </c>
      <c r="R42" s="8" t="s">
        <v>17</v>
      </c>
      <c r="S42" s="11">
        <v>114</v>
      </c>
      <c r="T42" s="10">
        <v>0.27</v>
      </c>
      <c r="X42" s="20"/>
      <c r="Y42" s="20"/>
    </row>
    <row r="43" spans="1:25" x14ac:dyDescent="0.3">
      <c r="A43" s="7">
        <f t="shared" si="5"/>
        <v>38</v>
      </c>
      <c r="B43" s="8">
        <v>44</v>
      </c>
      <c r="C43" s="9" t="str">
        <f t="shared" si="3"/>
        <v>1380x85185fe3A4e36079818Ba1d12705A9B6898996580xa60AdD2af71a4f50b3F94509E71a1e9DbDeA5dDa1638461unidade1630027</v>
      </c>
      <c r="D43" s="13" t="s">
        <v>104</v>
      </c>
      <c r="E43" s="8" t="s">
        <v>1005</v>
      </c>
      <c r="F43" s="8">
        <f t="shared" si="7"/>
        <v>0</v>
      </c>
      <c r="G43" s="8">
        <f t="shared" si="7"/>
        <v>0</v>
      </c>
      <c r="H43" s="8">
        <f t="shared" si="7"/>
        <v>9</v>
      </c>
      <c r="I43" s="8">
        <f t="shared" si="7"/>
        <v>7</v>
      </c>
      <c r="J43" s="8">
        <f t="shared" si="2"/>
        <v>9</v>
      </c>
      <c r="K43" s="15">
        <v>1.1574069503694773E-5</v>
      </c>
      <c r="M43" s="8">
        <f t="shared" si="4"/>
        <v>138</v>
      </c>
      <c r="N43" s="9" t="s">
        <v>15</v>
      </c>
      <c r="O43" s="9" t="s">
        <v>16</v>
      </c>
      <c r="P43" s="9">
        <v>1638</v>
      </c>
      <c r="Q43" s="9">
        <v>461</v>
      </c>
      <c r="R43" s="8" t="s">
        <v>17</v>
      </c>
      <c r="S43" s="11">
        <v>163</v>
      </c>
      <c r="T43" s="10">
        <v>0.27</v>
      </c>
      <c r="X43" s="20"/>
      <c r="Y43" s="20"/>
    </row>
    <row r="44" spans="1:25" x14ac:dyDescent="0.3">
      <c r="A44" s="7">
        <f t="shared" si="5"/>
        <v>39</v>
      </c>
      <c r="B44" s="8">
        <v>71</v>
      </c>
      <c r="C44" s="9" t="str">
        <f t="shared" si="3"/>
        <v>1390x85185fe3A4e36079818Ba1d12705A9B6898996580xa60AdD2af71a4f50b3F94509E71a1e9DbDeA5dDa1058192unidade1320027</v>
      </c>
      <c r="D44" s="13" t="s">
        <v>105</v>
      </c>
      <c r="E44" s="8" t="s">
        <v>1006</v>
      </c>
      <c r="F44" s="8">
        <f t="shared" si="7"/>
        <v>0</v>
      </c>
      <c r="G44" s="8">
        <f t="shared" si="7"/>
        <v>0</v>
      </c>
      <c r="H44" s="8">
        <f t="shared" si="7"/>
        <v>1</v>
      </c>
      <c r="I44" s="8">
        <f t="shared" si="7"/>
        <v>1</v>
      </c>
      <c r="J44" s="8">
        <f t="shared" si="2"/>
        <v>1</v>
      </c>
      <c r="K44" s="15">
        <v>2.3148153559304774E-5</v>
      </c>
      <c r="M44" s="8">
        <f t="shared" si="4"/>
        <v>139</v>
      </c>
      <c r="N44" s="9" t="s">
        <v>15</v>
      </c>
      <c r="O44" s="9" t="s">
        <v>16</v>
      </c>
      <c r="P44" s="9">
        <v>1058</v>
      </c>
      <c r="Q44" s="9">
        <v>192</v>
      </c>
      <c r="R44" s="8" t="s">
        <v>17</v>
      </c>
      <c r="S44" s="11">
        <v>132</v>
      </c>
      <c r="T44" s="10">
        <v>0.27</v>
      </c>
      <c r="X44" s="20"/>
      <c r="Y44" s="20"/>
    </row>
    <row r="45" spans="1:25" x14ac:dyDescent="0.3">
      <c r="A45" s="7">
        <f t="shared" si="5"/>
        <v>40</v>
      </c>
      <c r="B45" s="8">
        <v>15</v>
      </c>
      <c r="C45" s="9" t="str">
        <f t="shared" si="3"/>
        <v>1400x85185fe3A4e36079818Ba1d12705A9B6898996580xa60AdD2af71a4f50b3F94509E71a1e9DbDeA5dDa1635101unidade2050027</v>
      </c>
      <c r="D45" s="13" t="s">
        <v>106</v>
      </c>
      <c r="E45" s="8" t="s">
        <v>1007</v>
      </c>
      <c r="F45" s="8">
        <f t="shared" si="7"/>
        <v>0</v>
      </c>
      <c r="G45" s="8">
        <f t="shared" si="7"/>
        <v>0</v>
      </c>
      <c r="H45" s="8">
        <f t="shared" si="7"/>
        <v>1</v>
      </c>
      <c r="I45" s="8">
        <f t="shared" si="7"/>
        <v>9</v>
      </c>
      <c r="J45" s="8">
        <f t="shared" si="2"/>
        <v>1</v>
      </c>
      <c r="K45" s="15">
        <v>0</v>
      </c>
      <c r="M45" s="8">
        <f t="shared" si="4"/>
        <v>140</v>
      </c>
      <c r="N45" s="9" t="s">
        <v>15</v>
      </c>
      <c r="O45" s="9" t="s">
        <v>16</v>
      </c>
      <c r="P45" s="9">
        <v>1635</v>
      </c>
      <c r="Q45" s="9">
        <v>101</v>
      </c>
      <c r="R45" s="8" t="s">
        <v>17</v>
      </c>
      <c r="S45" s="11">
        <v>205</v>
      </c>
      <c r="T45" s="10">
        <v>0.27</v>
      </c>
      <c r="X45" s="20"/>
      <c r="Y45" s="20"/>
    </row>
    <row r="46" spans="1:25" x14ac:dyDescent="0.3">
      <c r="A46" s="7">
        <f t="shared" si="5"/>
        <v>41</v>
      </c>
      <c r="B46" s="8">
        <v>288</v>
      </c>
      <c r="C46" s="9" t="str">
        <f t="shared" si="3"/>
        <v>1410x85185fe3A4e36079818Ba1d12705A9B6898996580xa60AdD2af71a4f50b3F94509E71a1e9DbDeA5dDa1695136unidade530027</v>
      </c>
      <c r="D46" s="13" t="s">
        <v>107</v>
      </c>
      <c r="E46" s="8" t="s">
        <v>1008</v>
      </c>
      <c r="F46" s="8">
        <f t="shared" si="7"/>
        <v>0</v>
      </c>
      <c r="G46" s="8">
        <f t="shared" si="7"/>
        <v>0</v>
      </c>
      <c r="H46" s="8">
        <f t="shared" si="7"/>
        <v>2</v>
      </c>
      <c r="I46" s="8">
        <f t="shared" si="7"/>
        <v>1</v>
      </c>
      <c r="J46" s="8">
        <f t="shared" si="2"/>
        <v>2</v>
      </c>
      <c r="K46" s="15">
        <v>8.1018515629693866E-5</v>
      </c>
      <c r="M46" s="8">
        <f t="shared" si="4"/>
        <v>141</v>
      </c>
      <c r="N46" s="9" t="s">
        <v>15</v>
      </c>
      <c r="O46" s="9" t="s">
        <v>16</v>
      </c>
      <c r="P46" s="9">
        <v>1695</v>
      </c>
      <c r="Q46" s="9">
        <v>136</v>
      </c>
      <c r="R46" s="8" t="s">
        <v>17</v>
      </c>
      <c r="S46" s="11">
        <v>53</v>
      </c>
      <c r="T46" s="10">
        <v>0.27</v>
      </c>
      <c r="X46" s="20"/>
      <c r="Y46" s="20"/>
    </row>
    <row r="47" spans="1:25" x14ac:dyDescent="0.3">
      <c r="A47" s="7">
        <f t="shared" si="5"/>
        <v>42</v>
      </c>
      <c r="B47" s="8">
        <v>98</v>
      </c>
      <c r="C47" s="9" t="str">
        <f t="shared" si="3"/>
        <v>1420x85185fe3A4e36079818Ba1d12705A9B6898996580xa60AdD2af71a4f50b3F94509E71a1e9DbDeA5dDa1033492unidade1760027</v>
      </c>
      <c r="D47" s="13" t="s">
        <v>108</v>
      </c>
      <c r="E47" s="8" t="s">
        <v>1009</v>
      </c>
      <c r="F47" s="8">
        <f t="shared" si="7"/>
        <v>0</v>
      </c>
      <c r="G47" s="8">
        <f t="shared" si="7"/>
        <v>0</v>
      </c>
      <c r="H47" s="8">
        <f t="shared" si="7"/>
        <v>9</v>
      </c>
      <c r="I47" s="8">
        <f t="shared" si="7"/>
        <v>6</v>
      </c>
      <c r="J47" s="8">
        <f t="shared" si="2"/>
        <v>9</v>
      </c>
      <c r="K47" s="15">
        <v>2.314814628334716E-5</v>
      </c>
      <c r="M47" s="8">
        <f t="shared" si="4"/>
        <v>142</v>
      </c>
      <c r="N47" s="9" t="s">
        <v>15</v>
      </c>
      <c r="O47" s="9" t="s">
        <v>16</v>
      </c>
      <c r="P47" s="9">
        <v>1033</v>
      </c>
      <c r="Q47" s="9">
        <v>492</v>
      </c>
      <c r="R47" s="8" t="s">
        <v>17</v>
      </c>
      <c r="S47" s="11">
        <v>176</v>
      </c>
      <c r="T47" s="10">
        <v>0.27</v>
      </c>
      <c r="X47" s="20"/>
      <c r="Y47" s="20"/>
    </row>
    <row r="48" spans="1:25" x14ac:dyDescent="0.3">
      <c r="A48" s="7">
        <f t="shared" si="5"/>
        <v>43</v>
      </c>
      <c r="B48" s="8">
        <v>413</v>
      </c>
      <c r="C48" s="9" t="str">
        <f t="shared" si="3"/>
        <v>1430x85185fe3A4e36079818Ba1d12705A9B6898996580xa60AdD2af71a4f50b3F94509E71a1e9DbDeA5dDa1697286unidade1120027</v>
      </c>
      <c r="D48" s="13" t="s">
        <v>109</v>
      </c>
      <c r="E48" s="8" t="s">
        <v>1010</v>
      </c>
      <c r="F48" s="8">
        <f t="shared" si="7"/>
        <v>0</v>
      </c>
      <c r="G48" s="8">
        <f t="shared" si="7"/>
        <v>0</v>
      </c>
      <c r="H48" s="8">
        <f t="shared" si="7"/>
        <v>9</v>
      </c>
      <c r="I48" s="8">
        <f t="shared" si="7"/>
        <v>2</v>
      </c>
      <c r="J48" s="8">
        <f t="shared" si="2"/>
        <v>9</v>
      </c>
      <c r="K48" s="15">
        <v>1.0416666918899864E-4</v>
      </c>
      <c r="M48" s="8">
        <f t="shared" si="4"/>
        <v>143</v>
      </c>
      <c r="N48" s="9" t="s">
        <v>15</v>
      </c>
      <c r="O48" s="9" t="s">
        <v>16</v>
      </c>
      <c r="P48" s="9">
        <v>1697</v>
      </c>
      <c r="Q48" s="9">
        <v>286</v>
      </c>
      <c r="R48" s="8" t="s">
        <v>17</v>
      </c>
      <c r="S48" s="11">
        <v>112</v>
      </c>
      <c r="T48" s="10">
        <v>0.27</v>
      </c>
      <c r="X48" s="20"/>
      <c r="Y48" s="20"/>
    </row>
    <row r="49" spans="1:25" x14ac:dyDescent="0.3">
      <c r="A49" s="7">
        <f t="shared" si="5"/>
        <v>44</v>
      </c>
      <c r="B49" s="8">
        <v>25</v>
      </c>
      <c r="C49" s="9" t="str">
        <f t="shared" si="3"/>
        <v>1440x85185fe3A4e36079818Ba1d12705A9B6898996580xa60AdD2af71a4f50b3F94509E71a1e9DbDeA5dDa1805107unidade2220027</v>
      </c>
      <c r="D49" s="13" t="s">
        <v>110</v>
      </c>
      <c r="E49" s="8" t="s">
        <v>1011</v>
      </c>
      <c r="F49" s="8">
        <f t="shared" si="7"/>
        <v>0</v>
      </c>
      <c r="G49" s="8">
        <f t="shared" si="7"/>
        <v>0</v>
      </c>
      <c r="H49" s="8">
        <f t="shared" si="7"/>
        <v>6</v>
      </c>
      <c r="I49" s="8">
        <f t="shared" si="7"/>
        <v>1</v>
      </c>
      <c r="J49" s="8">
        <f t="shared" si="2"/>
        <v>6</v>
      </c>
      <c r="K49" s="15">
        <v>0</v>
      </c>
      <c r="M49" s="8">
        <f t="shared" si="4"/>
        <v>144</v>
      </c>
      <c r="N49" s="9" t="s">
        <v>15</v>
      </c>
      <c r="O49" s="9" t="s">
        <v>16</v>
      </c>
      <c r="P49" s="9">
        <v>1805</v>
      </c>
      <c r="Q49" s="9">
        <v>107</v>
      </c>
      <c r="R49" s="8" t="s">
        <v>17</v>
      </c>
      <c r="S49" s="11">
        <v>222</v>
      </c>
      <c r="T49" s="10">
        <v>0.27</v>
      </c>
      <c r="X49" s="20"/>
      <c r="Y49" s="20"/>
    </row>
    <row r="50" spans="1:25" x14ac:dyDescent="0.3">
      <c r="A50" s="7">
        <f t="shared" si="5"/>
        <v>45</v>
      </c>
      <c r="B50" s="8">
        <v>28</v>
      </c>
      <c r="C50" s="9" t="str">
        <f t="shared" si="3"/>
        <v>1450x85185fe3A4e36079818Ba1d12705A9B6898996580xa60AdD2af71a4f50b3F94509E71a1e9DbDeA5dDa1647187unidade520027</v>
      </c>
      <c r="D50" s="13" t="s">
        <v>111</v>
      </c>
      <c r="E50" s="8" t="s">
        <v>1012</v>
      </c>
      <c r="F50" s="8">
        <f t="shared" si="7"/>
        <v>0</v>
      </c>
      <c r="G50" s="8">
        <f t="shared" si="7"/>
        <v>0</v>
      </c>
      <c r="H50" s="8">
        <f t="shared" si="7"/>
        <v>1</v>
      </c>
      <c r="I50" s="8">
        <f t="shared" si="7"/>
        <v>1</v>
      </c>
      <c r="J50" s="8">
        <f t="shared" si="2"/>
        <v>1</v>
      </c>
      <c r="K50" s="15">
        <v>1.1574076779652387E-5</v>
      </c>
      <c r="M50" s="8">
        <f t="shared" si="4"/>
        <v>145</v>
      </c>
      <c r="N50" s="9" t="s">
        <v>15</v>
      </c>
      <c r="O50" s="9" t="s">
        <v>16</v>
      </c>
      <c r="P50" s="9">
        <v>1647</v>
      </c>
      <c r="Q50" s="9">
        <v>187</v>
      </c>
      <c r="R50" s="8" t="s">
        <v>17</v>
      </c>
      <c r="S50" s="11">
        <v>52</v>
      </c>
      <c r="T50" s="10">
        <v>0.27</v>
      </c>
      <c r="X50" s="20"/>
      <c r="Y50" s="20"/>
    </row>
    <row r="51" spans="1:25" x14ac:dyDescent="0.3">
      <c r="A51" s="7">
        <f t="shared" si="5"/>
        <v>46</v>
      </c>
      <c r="B51" s="8">
        <v>293</v>
      </c>
      <c r="C51" s="9" t="str">
        <f t="shared" si="3"/>
        <v>1460x85185fe3A4e36079818Ba1d12705A9B6898996580xa60AdD2af71a4f50b3F94509E71a1e9DbDeA5dDa1045180unidade700027</v>
      </c>
      <c r="D51" s="13" t="s">
        <v>112</v>
      </c>
      <c r="E51" s="8" t="s">
        <v>1013</v>
      </c>
      <c r="F51" s="8">
        <f t="shared" si="7"/>
        <v>0</v>
      </c>
      <c r="G51" s="8">
        <f t="shared" si="7"/>
        <v>0</v>
      </c>
      <c r="H51" s="8">
        <f t="shared" si="7"/>
        <v>1</v>
      </c>
      <c r="I51" s="8">
        <f t="shared" si="7"/>
        <v>1</v>
      </c>
      <c r="J51" s="8">
        <f t="shared" si="2"/>
        <v>1</v>
      </c>
      <c r="K51" s="15">
        <v>8.1018515629693866E-5</v>
      </c>
      <c r="M51" s="8">
        <f t="shared" si="4"/>
        <v>146</v>
      </c>
      <c r="N51" s="9" t="s">
        <v>15</v>
      </c>
      <c r="O51" s="9" t="s">
        <v>16</v>
      </c>
      <c r="P51" s="9">
        <v>1045</v>
      </c>
      <c r="Q51" s="9">
        <v>180</v>
      </c>
      <c r="R51" s="8" t="s">
        <v>17</v>
      </c>
      <c r="S51" s="11">
        <v>70</v>
      </c>
      <c r="T51" s="10">
        <v>0.27</v>
      </c>
      <c r="X51" s="20"/>
      <c r="Y51" s="20"/>
    </row>
    <row r="52" spans="1:25" x14ac:dyDescent="0.3">
      <c r="A52" s="7">
        <f t="shared" si="5"/>
        <v>47</v>
      </c>
      <c r="B52" s="8">
        <v>138</v>
      </c>
      <c r="C52" s="9" t="str">
        <f t="shared" si="3"/>
        <v>1470x85185fe3A4e36079818Ba1d12705A9B6898996580xa60AdD2af71a4f50b3F94509E71a1e9DbDeA5dDa1888481unidade1370027</v>
      </c>
      <c r="D52" s="13" t="s">
        <v>113</v>
      </c>
      <c r="E52" s="8" t="s">
        <v>1014</v>
      </c>
      <c r="F52" s="8">
        <f t="shared" si="7"/>
        <v>0</v>
      </c>
      <c r="G52" s="8">
        <f t="shared" si="7"/>
        <v>0</v>
      </c>
      <c r="H52" s="8">
        <f t="shared" si="7"/>
        <v>1</v>
      </c>
      <c r="I52" s="8">
        <f t="shared" si="7"/>
        <v>1</v>
      </c>
      <c r="J52" s="8">
        <f t="shared" si="2"/>
        <v>1</v>
      </c>
      <c r="K52" s="15">
        <v>3.4722223062999547E-5</v>
      </c>
      <c r="M52" s="8">
        <f t="shared" si="4"/>
        <v>147</v>
      </c>
      <c r="N52" s="9" t="s">
        <v>15</v>
      </c>
      <c r="O52" s="9" t="s">
        <v>16</v>
      </c>
      <c r="P52" s="9">
        <v>1888</v>
      </c>
      <c r="Q52" s="9">
        <v>481</v>
      </c>
      <c r="R52" s="8" t="s">
        <v>17</v>
      </c>
      <c r="S52" s="11">
        <v>137</v>
      </c>
      <c r="T52" s="10">
        <v>0.27</v>
      </c>
      <c r="X52" s="20"/>
      <c r="Y52" s="20"/>
    </row>
    <row r="53" spans="1:25" x14ac:dyDescent="0.3">
      <c r="A53" s="7">
        <f t="shared" si="5"/>
        <v>48</v>
      </c>
      <c r="B53" s="8">
        <v>39</v>
      </c>
      <c r="C53" s="9" t="str">
        <f t="shared" si="3"/>
        <v>1480x85185fe3A4e36079818Ba1d12705A9B6898996580xa60AdD2af71a4f50b3F94509E71a1e9DbDeA5dDa1396271unidade1470027</v>
      </c>
      <c r="D53" s="13" t="s">
        <v>114</v>
      </c>
      <c r="E53" s="8" t="s">
        <v>1015</v>
      </c>
      <c r="F53" s="8">
        <f t="shared" si="7"/>
        <v>0</v>
      </c>
      <c r="G53" s="8">
        <f t="shared" si="7"/>
        <v>0</v>
      </c>
      <c r="H53" s="8">
        <f t="shared" si="7"/>
        <v>4</v>
      </c>
      <c r="I53" s="8">
        <f t="shared" si="7"/>
        <v>1</v>
      </c>
      <c r="J53" s="8">
        <f t="shared" si="2"/>
        <v>4</v>
      </c>
      <c r="K53" s="15">
        <v>1.1574069503694773E-5</v>
      </c>
      <c r="M53" s="8">
        <f t="shared" si="4"/>
        <v>148</v>
      </c>
      <c r="N53" s="9" t="s">
        <v>15</v>
      </c>
      <c r="O53" s="9" t="s">
        <v>16</v>
      </c>
      <c r="P53" s="9">
        <v>1396</v>
      </c>
      <c r="Q53" s="9">
        <v>271</v>
      </c>
      <c r="R53" s="8" t="s">
        <v>17</v>
      </c>
      <c r="S53" s="11">
        <v>147</v>
      </c>
      <c r="T53" s="10">
        <v>0.27</v>
      </c>
      <c r="X53" s="20"/>
      <c r="Y53" s="20"/>
    </row>
    <row r="54" spans="1:25" x14ac:dyDescent="0.3">
      <c r="A54" s="7">
        <f t="shared" si="5"/>
        <v>49</v>
      </c>
      <c r="B54" s="8">
        <v>50</v>
      </c>
      <c r="C54" s="9" t="str">
        <f t="shared" si="3"/>
        <v>1490x85185fe3A4e36079818Ba1d12705A9B6898996580xa60AdD2af71a4f50b3F94509E71a1e9DbDeA5dDa1564269unidade2500027</v>
      </c>
      <c r="D54" s="13" t="s">
        <v>115</v>
      </c>
      <c r="E54" s="8" t="s">
        <v>1016</v>
      </c>
      <c r="F54" s="8">
        <f t="shared" si="7"/>
        <v>0</v>
      </c>
      <c r="G54" s="8">
        <f t="shared" si="7"/>
        <v>0</v>
      </c>
      <c r="H54" s="8">
        <f t="shared" si="7"/>
        <v>4</v>
      </c>
      <c r="I54" s="8">
        <f t="shared" si="7"/>
        <v>1</v>
      </c>
      <c r="J54" s="8">
        <f t="shared" si="2"/>
        <v>4</v>
      </c>
      <c r="K54" s="15">
        <v>1.1574076779652387E-5</v>
      </c>
      <c r="M54" s="8">
        <f t="shared" si="4"/>
        <v>149</v>
      </c>
      <c r="N54" s="9" t="s">
        <v>15</v>
      </c>
      <c r="O54" s="9" t="s">
        <v>16</v>
      </c>
      <c r="P54" s="9">
        <v>1564</v>
      </c>
      <c r="Q54" s="9">
        <v>269</v>
      </c>
      <c r="R54" s="8" t="s">
        <v>17</v>
      </c>
      <c r="S54" s="11">
        <v>250</v>
      </c>
      <c r="T54" s="10">
        <v>0.27</v>
      </c>
      <c r="X54" s="20"/>
      <c r="Y54" s="20"/>
    </row>
    <row r="55" spans="1:25" x14ac:dyDescent="0.3">
      <c r="A55" s="7">
        <f t="shared" si="5"/>
        <v>50</v>
      </c>
      <c r="B55" s="8">
        <v>243</v>
      </c>
      <c r="C55" s="9" t="str">
        <f t="shared" si="3"/>
        <v>1500x85185fe3A4e36079818Ba1d12705A9B6898996580xa60AdD2af71a4f50b3F94509E71a1e9DbDeA5dDa1149166unidade950027</v>
      </c>
      <c r="D55" s="13" t="s">
        <v>116</v>
      </c>
      <c r="E55" s="8" t="s">
        <v>1017</v>
      </c>
      <c r="F55" s="8">
        <f t="shared" si="7"/>
        <v>0</v>
      </c>
      <c r="G55" s="8">
        <f t="shared" si="7"/>
        <v>0</v>
      </c>
      <c r="H55" s="8">
        <f t="shared" si="7"/>
        <v>9</v>
      </c>
      <c r="I55" s="8">
        <f t="shared" si="7"/>
        <v>4</v>
      </c>
      <c r="J55" s="8">
        <f t="shared" si="2"/>
        <v>9</v>
      </c>
      <c r="K55" s="15">
        <v>5.7870369346346706E-5</v>
      </c>
      <c r="M55" s="8">
        <f t="shared" si="4"/>
        <v>150</v>
      </c>
      <c r="N55" s="9" t="s">
        <v>15</v>
      </c>
      <c r="O55" s="9" t="s">
        <v>16</v>
      </c>
      <c r="P55" s="9">
        <v>1149</v>
      </c>
      <c r="Q55" s="9">
        <v>166</v>
      </c>
      <c r="R55" s="8" t="s">
        <v>17</v>
      </c>
      <c r="S55" s="11">
        <v>95</v>
      </c>
      <c r="T55" s="10">
        <v>0.27</v>
      </c>
      <c r="X55" s="20"/>
      <c r="Y55" s="20"/>
    </row>
    <row r="56" spans="1:25" x14ac:dyDescent="0.3">
      <c r="A56" s="7">
        <f t="shared" si="5"/>
        <v>51</v>
      </c>
      <c r="B56" s="8">
        <v>2</v>
      </c>
      <c r="C56" s="9" t="str">
        <f t="shared" si="3"/>
        <v>1510x85185fe3A4e36079818Ba1d12705A9B6898996580xa60AdD2af71a4f50b3F94509E71a1e9DbDeA5dDa1973137unidade2200027</v>
      </c>
      <c r="D56" s="13" t="s">
        <v>117</v>
      </c>
      <c r="E56" s="8" t="s">
        <v>1018</v>
      </c>
      <c r="F56" s="8">
        <f t="shared" si="7"/>
        <v>0</v>
      </c>
      <c r="G56" s="8">
        <f t="shared" si="7"/>
        <v>0</v>
      </c>
      <c r="H56" s="8">
        <f t="shared" si="7"/>
        <v>4</v>
      </c>
      <c r="I56" s="8">
        <f t="shared" si="7"/>
        <v>1</v>
      </c>
      <c r="J56" s="8">
        <f t="shared" si="2"/>
        <v>4</v>
      </c>
      <c r="K56" s="15">
        <v>0</v>
      </c>
      <c r="M56" s="8">
        <f t="shared" si="4"/>
        <v>151</v>
      </c>
      <c r="N56" s="9" t="s">
        <v>15</v>
      </c>
      <c r="O56" s="9" t="s">
        <v>16</v>
      </c>
      <c r="P56" s="9">
        <v>1973</v>
      </c>
      <c r="Q56" s="9">
        <v>137</v>
      </c>
      <c r="R56" s="8" t="s">
        <v>17</v>
      </c>
      <c r="S56" s="11">
        <v>220</v>
      </c>
      <c r="T56" s="10">
        <v>0.27</v>
      </c>
      <c r="X56" s="20"/>
      <c r="Y56" s="20"/>
    </row>
    <row r="57" spans="1:25" x14ac:dyDescent="0.3">
      <c r="A57" s="7">
        <f t="shared" si="5"/>
        <v>52</v>
      </c>
      <c r="B57" s="8">
        <v>55</v>
      </c>
      <c r="C57" s="9" t="str">
        <f t="shared" si="3"/>
        <v>1520x85185fe3A4e36079818Ba1d12705A9B6898996580xa60AdD2af71a4f50b3F94509E71a1e9DbDeA5dDa1172483unidade1540027</v>
      </c>
      <c r="D57" s="13" t="s">
        <v>118</v>
      </c>
      <c r="E57" s="8" t="s">
        <v>1019</v>
      </c>
      <c r="F57" s="8">
        <f t="shared" si="7"/>
        <v>0</v>
      </c>
      <c r="G57" s="8">
        <f t="shared" si="7"/>
        <v>0</v>
      </c>
      <c r="H57" s="8">
        <f t="shared" si="7"/>
        <v>1</v>
      </c>
      <c r="I57" s="8">
        <f t="shared" si="7"/>
        <v>1</v>
      </c>
      <c r="J57" s="8">
        <f t="shared" si="2"/>
        <v>1</v>
      </c>
      <c r="K57" s="15">
        <v>1.1574069503694773E-5</v>
      </c>
      <c r="M57" s="8">
        <f t="shared" si="4"/>
        <v>152</v>
      </c>
      <c r="N57" s="9" t="s">
        <v>15</v>
      </c>
      <c r="O57" s="9" t="s">
        <v>16</v>
      </c>
      <c r="P57" s="9">
        <v>1172</v>
      </c>
      <c r="Q57" s="9">
        <v>483</v>
      </c>
      <c r="R57" s="8" t="s">
        <v>17</v>
      </c>
      <c r="S57" s="11">
        <v>154</v>
      </c>
      <c r="T57" s="10">
        <v>0.27</v>
      </c>
      <c r="X57" s="20"/>
      <c r="Y57" s="20"/>
    </row>
    <row r="58" spans="1:25" x14ac:dyDescent="0.3">
      <c r="A58" s="7">
        <f t="shared" si="5"/>
        <v>53</v>
      </c>
      <c r="B58" s="8">
        <v>170</v>
      </c>
      <c r="C58" s="9" t="str">
        <f t="shared" si="3"/>
        <v>1530x85185fe3A4e36079818Ba1d12705A9B6898996580xa60AdD2af71a4f50b3F94509E71a1e9DbDeA5dDa1111338unidade1160027</v>
      </c>
      <c r="D58" s="13" t="s">
        <v>119</v>
      </c>
      <c r="E58" s="8" t="s">
        <v>1020</v>
      </c>
      <c r="F58" s="8">
        <f t="shared" si="7"/>
        <v>0</v>
      </c>
      <c r="G58" s="8">
        <f t="shared" si="7"/>
        <v>0</v>
      </c>
      <c r="H58" s="8">
        <f t="shared" si="7"/>
        <v>1</v>
      </c>
      <c r="I58" s="8">
        <f t="shared" si="7"/>
        <v>1</v>
      </c>
      <c r="J58" s="8">
        <f t="shared" si="2"/>
        <v>1</v>
      </c>
      <c r="K58" s="15">
        <v>4.6296299842651933E-5</v>
      </c>
      <c r="M58" s="8">
        <f t="shared" si="4"/>
        <v>153</v>
      </c>
      <c r="N58" s="9" t="s">
        <v>15</v>
      </c>
      <c r="O58" s="9" t="s">
        <v>16</v>
      </c>
      <c r="P58" s="9">
        <v>1111</v>
      </c>
      <c r="Q58" s="9">
        <v>338</v>
      </c>
      <c r="R58" s="8" t="s">
        <v>17</v>
      </c>
      <c r="S58" s="11">
        <v>116</v>
      </c>
      <c r="T58" s="10">
        <v>0.27</v>
      </c>
      <c r="X58" s="20"/>
      <c r="Y58" s="20"/>
    </row>
    <row r="59" spans="1:25" x14ac:dyDescent="0.3">
      <c r="A59" s="7">
        <f t="shared" si="5"/>
        <v>54</v>
      </c>
      <c r="B59" s="8">
        <v>126</v>
      </c>
      <c r="C59" s="9" t="str">
        <f t="shared" si="3"/>
        <v>1540x85185fe3A4e36079818Ba1d12705A9B6898996590xa60AdD2af71a4f50b3F94509E71a1e9DbDeA5dDa1144259unidade1560027</v>
      </c>
      <c r="D59" s="13" t="s">
        <v>120</v>
      </c>
      <c r="E59" s="8" t="s">
        <v>1021</v>
      </c>
      <c r="F59" s="8">
        <f t="shared" si="7"/>
        <v>0</v>
      </c>
      <c r="G59" s="8">
        <f t="shared" si="7"/>
        <v>0</v>
      </c>
      <c r="H59" s="8">
        <f t="shared" si="7"/>
        <v>5</v>
      </c>
      <c r="I59" s="8">
        <f t="shared" si="7"/>
        <v>1</v>
      </c>
      <c r="J59" s="8">
        <f t="shared" si="2"/>
        <v>5</v>
      </c>
      <c r="K59" s="15">
        <v>3.4722223062999547E-5</v>
      </c>
      <c r="M59" s="8">
        <f t="shared" si="4"/>
        <v>154</v>
      </c>
      <c r="N59" s="9" t="s">
        <v>18</v>
      </c>
      <c r="O59" s="9" t="s">
        <v>16</v>
      </c>
      <c r="P59" s="9">
        <v>1144</v>
      </c>
      <c r="Q59" s="9">
        <v>259</v>
      </c>
      <c r="R59" s="8" t="s">
        <v>17</v>
      </c>
      <c r="S59" s="11">
        <v>156</v>
      </c>
      <c r="T59" s="10">
        <v>0.27</v>
      </c>
      <c r="X59" s="20"/>
      <c r="Y59" s="20"/>
    </row>
    <row r="60" spans="1:25" x14ac:dyDescent="0.3">
      <c r="A60" s="7">
        <f t="shared" si="5"/>
        <v>55</v>
      </c>
      <c r="B60" s="8">
        <v>52</v>
      </c>
      <c r="C60" s="9" t="str">
        <f t="shared" si="3"/>
        <v>1550x85185fe3A4e36079818Ba1d12705A9B6898996600xa60AdD2af71a4f50b3F94509E71a1e9DbDeA5dDa1496112unidade1550027</v>
      </c>
      <c r="D60" s="13" t="s">
        <v>121</v>
      </c>
      <c r="E60" s="8" t="s">
        <v>1022</v>
      </c>
      <c r="F60" s="8">
        <f t="shared" si="7"/>
        <v>0</v>
      </c>
      <c r="G60" s="8">
        <f t="shared" si="7"/>
        <v>0</v>
      </c>
      <c r="H60" s="8">
        <f t="shared" si="7"/>
        <v>1</v>
      </c>
      <c r="I60" s="8">
        <f t="shared" si="7"/>
        <v>4</v>
      </c>
      <c r="J60" s="8">
        <f t="shared" si="2"/>
        <v>1</v>
      </c>
      <c r="K60" s="15">
        <v>1.1574069503694773E-5</v>
      </c>
      <c r="M60" s="8">
        <f t="shared" si="4"/>
        <v>155</v>
      </c>
      <c r="N60" s="9" t="s">
        <v>19</v>
      </c>
      <c r="O60" s="9" t="s">
        <v>16</v>
      </c>
      <c r="P60" s="9">
        <v>1496</v>
      </c>
      <c r="Q60" s="9">
        <v>112</v>
      </c>
      <c r="R60" s="8" t="s">
        <v>17</v>
      </c>
      <c r="S60" s="11">
        <v>155</v>
      </c>
      <c r="T60" s="10">
        <v>0.27</v>
      </c>
      <c r="X60" s="20"/>
      <c r="Y60" s="20"/>
    </row>
    <row r="61" spans="1:25" x14ac:dyDescent="0.3">
      <c r="A61" s="7">
        <f t="shared" si="5"/>
        <v>56</v>
      </c>
      <c r="B61" s="8">
        <v>238</v>
      </c>
      <c r="C61" s="9" t="str">
        <f t="shared" si="3"/>
        <v>1560x85185fe3A4e36079818Ba1d12705A9B6898996610xa60AdD2af71a4f50b3F94509E71a1e9DbDeA5dDa1761288unidade1760027</v>
      </c>
      <c r="D61" s="13" t="s">
        <v>122</v>
      </c>
      <c r="E61" s="8" t="s">
        <v>1023</v>
      </c>
      <c r="F61" s="8">
        <f t="shared" si="7"/>
        <v>0</v>
      </c>
      <c r="G61" s="8">
        <f t="shared" si="7"/>
        <v>0</v>
      </c>
      <c r="H61" s="8">
        <f t="shared" si="7"/>
        <v>3</v>
      </c>
      <c r="I61" s="8">
        <f t="shared" si="7"/>
        <v>2</v>
      </c>
      <c r="J61" s="8">
        <f t="shared" si="2"/>
        <v>3</v>
      </c>
      <c r="K61" s="15">
        <v>5.787037662230432E-5</v>
      </c>
      <c r="M61" s="8">
        <f t="shared" si="4"/>
        <v>156</v>
      </c>
      <c r="N61" s="9" t="s">
        <v>20</v>
      </c>
      <c r="O61" s="9" t="s">
        <v>16</v>
      </c>
      <c r="P61" s="9">
        <v>1761</v>
      </c>
      <c r="Q61" s="9">
        <v>288</v>
      </c>
      <c r="R61" s="8" t="s">
        <v>17</v>
      </c>
      <c r="S61" s="11">
        <v>176</v>
      </c>
      <c r="T61" s="10">
        <v>0.27</v>
      </c>
      <c r="X61" s="20"/>
      <c r="Y61" s="20"/>
    </row>
    <row r="62" spans="1:25" x14ac:dyDescent="0.3">
      <c r="A62" s="7">
        <f t="shared" si="5"/>
        <v>57</v>
      </c>
      <c r="B62" s="8">
        <v>154</v>
      </c>
      <c r="C62" s="9" t="str">
        <f t="shared" si="3"/>
        <v>1570x85185fe3A4e36079818Ba1d12705A9B6898996620xa60AdD2af71a4f50b3F94509E71a1e9DbDeA5dDa1884235unidade1380027</v>
      </c>
      <c r="D62" s="13" t="s">
        <v>123</v>
      </c>
      <c r="E62" s="8" t="s">
        <v>1024</v>
      </c>
      <c r="F62" s="8">
        <f t="shared" si="7"/>
        <v>0</v>
      </c>
      <c r="G62" s="8">
        <f t="shared" si="7"/>
        <v>0</v>
      </c>
      <c r="H62" s="8">
        <f t="shared" si="7"/>
        <v>7</v>
      </c>
      <c r="I62" s="8">
        <f t="shared" si="7"/>
        <v>2</v>
      </c>
      <c r="J62" s="8">
        <f t="shared" si="2"/>
        <v>7</v>
      </c>
      <c r="K62" s="15">
        <v>3.4722223062999547E-5</v>
      </c>
      <c r="M62" s="8">
        <f t="shared" si="4"/>
        <v>157</v>
      </c>
      <c r="N62" s="9" t="s">
        <v>21</v>
      </c>
      <c r="O62" s="9" t="s">
        <v>16</v>
      </c>
      <c r="P62" s="9">
        <v>1884</v>
      </c>
      <c r="Q62" s="9">
        <v>235</v>
      </c>
      <c r="R62" s="8" t="s">
        <v>17</v>
      </c>
      <c r="S62" s="11">
        <v>138</v>
      </c>
      <c r="T62" s="10">
        <v>0.27</v>
      </c>
      <c r="X62" s="20"/>
      <c r="Y62" s="20"/>
    </row>
    <row r="63" spans="1:25" x14ac:dyDescent="0.3">
      <c r="A63" s="7">
        <f t="shared" si="5"/>
        <v>58</v>
      </c>
      <c r="B63" s="8">
        <v>269</v>
      </c>
      <c r="C63" s="9" t="str">
        <f t="shared" si="3"/>
        <v>1580x85185fe3A4e36079818Ba1d12705A9B6898996630xa60AdD2af71a4f50b3F94509E71a1e9DbDeA5dDa1405495unidade2000027</v>
      </c>
      <c r="D63" s="13" t="s">
        <v>124</v>
      </c>
      <c r="E63" s="8" t="s">
        <v>1025</v>
      </c>
      <c r="F63" s="8">
        <f t="shared" si="7"/>
        <v>0</v>
      </c>
      <c r="G63" s="8">
        <f t="shared" si="7"/>
        <v>0</v>
      </c>
      <c r="H63" s="8">
        <f t="shared" si="7"/>
        <v>1</v>
      </c>
      <c r="I63" s="8">
        <f t="shared" si="7"/>
        <v>9</v>
      </c>
      <c r="J63" s="8">
        <f t="shared" si="2"/>
        <v>1</v>
      </c>
      <c r="K63" s="15">
        <v>6.9444446125999093E-5</v>
      </c>
      <c r="M63" s="8">
        <f t="shared" si="4"/>
        <v>158</v>
      </c>
      <c r="N63" s="9" t="s">
        <v>22</v>
      </c>
      <c r="O63" s="9" t="s">
        <v>16</v>
      </c>
      <c r="P63" s="9">
        <v>1405</v>
      </c>
      <c r="Q63" s="9">
        <v>495</v>
      </c>
      <c r="R63" s="8" t="s">
        <v>17</v>
      </c>
      <c r="S63" s="11">
        <v>200</v>
      </c>
      <c r="T63" s="10">
        <v>0.27</v>
      </c>
      <c r="X63" s="20"/>
      <c r="Y63" s="20"/>
    </row>
    <row r="64" spans="1:25" x14ac:dyDescent="0.3">
      <c r="A64" s="7">
        <f t="shared" si="5"/>
        <v>59</v>
      </c>
      <c r="B64" s="8">
        <v>131</v>
      </c>
      <c r="C64" s="9" t="str">
        <f t="shared" si="3"/>
        <v>1590x85185fe3A4e36079818Ba1d12705A9B6898996640xa60AdD2af71a4f50b3F94509E71a1e9DbDeA5dDa1031469unidade1490027</v>
      </c>
      <c r="D64" s="13" t="s">
        <v>125</v>
      </c>
      <c r="E64" s="8" t="s">
        <v>1026</v>
      </c>
      <c r="F64" s="8">
        <f t="shared" si="7"/>
        <v>0</v>
      </c>
      <c r="G64" s="8">
        <f t="shared" si="7"/>
        <v>0</v>
      </c>
      <c r="H64" s="8">
        <f t="shared" si="7"/>
        <v>1</v>
      </c>
      <c r="I64" s="8">
        <f t="shared" si="7"/>
        <v>0</v>
      </c>
      <c r="J64" s="8">
        <f t="shared" si="2"/>
        <v>1</v>
      </c>
      <c r="K64" s="15">
        <v>3.4722223062999547E-5</v>
      </c>
      <c r="M64" s="8">
        <f t="shared" si="4"/>
        <v>159</v>
      </c>
      <c r="N64" s="9" t="s">
        <v>23</v>
      </c>
      <c r="O64" s="9" t="s">
        <v>16</v>
      </c>
      <c r="P64" s="9">
        <v>1031</v>
      </c>
      <c r="Q64" s="9">
        <v>469</v>
      </c>
      <c r="R64" s="8" t="s">
        <v>17</v>
      </c>
      <c r="S64" s="11">
        <v>149</v>
      </c>
      <c r="T64" s="10">
        <v>0.27</v>
      </c>
      <c r="X64" s="20"/>
      <c r="Y64" s="20"/>
    </row>
    <row r="65" spans="1:25" x14ac:dyDescent="0.3">
      <c r="A65" s="7">
        <f t="shared" si="5"/>
        <v>60</v>
      </c>
      <c r="B65" s="8">
        <v>1178</v>
      </c>
      <c r="C65" s="9" t="str">
        <f t="shared" si="3"/>
        <v>1600x85185fe3A4e36079818Ba1d12705A9B6898996650xa60AdD2af71a4f50b3F94509E71a1e9DbDeA5dDa1587411unidade1940027</v>
      </c>
      <c r="D65" s="13" t="s">
        <v>126</v>
      </c>
      <c r="E65" s="8" t="s">
        <v>1027</v>
      </c>
      <c r="F65" s="8">
        <f t="shared" si="7"/>
        <v>0</v>
      </c>
      <c r="G65" s="8">
        <f t="shared" si="7"/>
        <v>0</v>
      </c>
      <c r="H65" s="8">
        <f t="shared" si="7"/>
        <v>6</v>
      </c>
      <c r="I65" s="8">
        <f t="shared" si="7"/>
        <v>8</v>
      </c>
      <c r="J65" s="8">
        <f t="shared" si="2"/>
        <v>6</v>
      </c>
      <c r="K65" s="15">
        <v>3.0092592351138592E-4</v>
      </c>
      <c r="M65" s="8">
        <f t="shared" si="4"/>
        <v>160</v>
      </c>
      <c r="N65" s="9" t="s">
        <v>24</v>
      </c>
      <c r="O65" s="9" t="s">
        <v>16</v>
      </c>
      <c r="P65" s="9">
        <v>1587</v>
      </c>
      <c r="Q65" s="9">
        <v>411</v>
      </c>
      <c r="R65" s="8" t="s">
        <v>17</v>
      </c>
      <c r="S65" s="11">
        <v>194</v>
      </c>
      <c r="T65" s="10">
        <v>0.27</v>
      </c>
      <c r="X65" s="20"/>
      <c r="Y65" s="20"/>
    </row>
    <row r="66" spans="1:25" x14ac:dyDescent="0.3">
      <c r="A66" s="7">
        <f t="shared" si="5"/>
        <v>61</v>
      </c>
      <c r="B66" s="8">
        <v>86</v>
      </c>
      <c r="C66" s="9" t="str">
        <f t="shared" si="3"/>
        <v>1610x85185fe3A4e36079818Ba1d12705A9B6898996660xa60AdD2af71a4f50b3F94509E71a1e9DbDeA5dDa1006244unidade1310027</v>
      </c>
      <c r="D66" s="13" t="s">
        <v>127</v>
      </c>
      <c r="E66" s="8" t="s">
        <v>1028</v>
      </c>
      <c r="F66" s="8">
        <f t="shared" si="7"/>
        <v>0</v>
      </c>
      <c r="G66" s="8">
        <f t="shared" si="7"/>
        <v>0</v>
      </c>
      <c r="H66" s="8">
        <f t="shared" si="7"/>
        <v>1</v>
      </c>
      <c r="I66" s="8">
        <f t="shared" si="7"/>
        <v>4</v>
      </c>
      <c r="J66" s="8">
        <f t="shared" si="2"/>
        <v>1</v>
      </c>
      <c r="K66" s="15">
        <v>2.314814628334716E-5</v>
      </c>
      <c r="M66" s="8">
        <f t="shared" si="4"/>
        <v>161</v>
      </c>
      <c r="N66" s="9" t="s">
        <v>25</v>
      </c>
      <c r="O66" s="9" t="s">
        <v>16</v>
      </c>
      <c r="P66" s="9">
        <v>1006</v>
      </c>
      <c r="Q66" s="9">
        <v>244</v>
      </c>
      <c r="R66" s="8" t="s">
        <v>17</v>
      </c>
      <c r="S66" s="11">
        <v>131</v>
      </c>
      <c r="T66" s="10">
        <v>0.27</v>
      </c>
      <c r="X66" s="20"/>
      <c r="Y66" s="20"/>
    </row>
    <row r="67" spans="1:25" x14ac:dyDescent="0.3">
      <c r="A67" s="7">
        <f t="shared" si="5"/>
        <v>62</v>
      </c>
      <c r="B67" s="8">
        <v>157</v>
      </c>
      <c r="C67" s="9" t="str">
        <f t="shared" si="3"/>
        <v>1620x85185fe3A4e36079818Ba1d12705A9B6898996670xa60AdD2af71a4f50b3F94509E71a1e9DbDeA5dDa1486447unidade1560027</v>
      </c>
      <c r="D67" s="13" t="s">
        <v>128</v>
      </c>
      <c r="E67" s="8" t="s">
        <v>1029</v>
      </c>
      <c r="F67" s="8">
        <f t="shared" si="7"/>
        <v>0</v>
      </c>
      <c r="G67" s="8">
        <f t="shared" si="7"/>
        <v>0</v>
      </c>
      <c r="H67" s="8">
        <f t="shared" si="7"/>
        <v>3</v>
      </c>
      <c r="I67" s="8">
        <f t="shared" si="7"/>
        <v>1</v>
      </c>
      <c r="J67" s="8">
        <f t="shared" si="2"/>
        <v>3</v>
      </c>
      <c r="K67" s="15">
        <v>4.6296299842651933E-5</v>
      </c>
      <c r="M67" s="8">
        <f t="shared" si="4"/>
        <v>162</v>
      </c>
      <c r="N67" s="9" t="s">
        <v>26</v>
      </c>
      <c r="O67" s="9" t="s">
        <v>16</v>
      </c>
      <c r="P67" s="9">
        <v>1486</v>
      </c>
      <c r="Q67" s="9">
        <v>447</v>
      </c>
      <c r="R67" s="8" t="s">
        <v>17</v>
      </c>
      <c r="S67" s="11">
        <v>156</v>
      </c>
      <c r="T67" s="10">
        <v>0.27</v>
      </c>
      <c r="X67" s="20"/>
      <c r="Y67" s="20"/>
    </row>
    <row r="68" spans="1:25" x14ac:dyDescent="0.3">
      <c r="A68" s="7">
        <f t="shared" si="5"/>
        <v>63</v>
      </c>
      <c r="B68" s="8">
        <v>371</v>
      </c>
      <c r="C68" s="9" t="str">
        <f t="shared" si="3"/>
        <v>1630x85185fe3A4e36079818Ba1d12705A9B6898996680xa60AdD2af71a4f50b3F94509E71a1e9DbDeA5dDa1902414unidade1080027</v>
      </c>
      <c r="D68" s="13" t="s">
        <v>129</v>
      </c>
      <c r="E68" s="8" t="s">
        <v>1030</v>
      </c>
      <c r="F68" s="8">
        <f t="shared" si="7"/>
        <v>0</v>
      </c>
      <c r="G68" s="8">
        <f t="shared" si="7"/>
        <v>0</v>
      </c>
      <c r="H68" s="8">
        <f t="shared" si="7"/>
        <v>1</v>
      </c>
      <c r="I68" s="8">
        <f t="shared" si="7"/>
        <v>1</v>
      </c>
      <c r="J68" s="8">
        <f t="shared" si="2"/>
        <v>1</v>
      </c>
      <c r="K68" s="15">
        <v>9.2592592409346253E-5</v>
      </c>
      <c r="M68" s="8">
        <f t="shared" si="4"/>
        <v>163</v>
      </c>
      <c r="N68" s="9" t="s">
        <v>27</v>
      </c>
      <c r="O68" s="9" t="s">
        <v>16</v>
      </c>
      <c r="P68" s="9">
        <v>1902</v>
      </c>
      <c r="Q68" s="9">
        <v>414</v>
      </c>
      <c r="R68" s="8" t="s">
        <v>17</v>
      </c>
      <c r="S68" s="11">
        <v>108</v>
      </c>
      <c r="T68" s="10">
        <v>0.27</v>
      </c>
      <c r="X68" s="20"/>
      <c r="Y68" s="20"/>
    </row>
    <row r="69" spans="1:25" x14ac:dyDescent="0.3">
      <c r="A69" s="7">
        <f t="shared" si="5"/>
        <v>64</v>
      </c>
      <c r="B69" s="8">
        <v>1025</v>
      </c>
      <c r="C69" s="9" t="str">
        <f t="shared" si="3"/>
        <v>1640x85185fe3A4e36079818Ba1d12705A9B6898996690xa60AdD2af71a4f50b3F94509E71a1e9DbDeA5dDa1039448unidade830027</v>
      </c>
      <c r="D69" s="13" t="s">
        <v>130</v>
      </c>
      <c r="E69" s="8" t="s">
        <v>1031</v>
      </c>
      <c r="F69" s="8">
        <f t="shared" si="7"/>
        <v>0</v>
      </c>
      <c r="G69" s="8">
        <f t="shared" si="7"/>
        <v>0</v>
      </c>
      <c r="H69" s="8">
        <f t="shared" si="7"/>
        <v>4</v>
      </c>
      <c r="I69" s="8">
        <f t="shared" si="7"/>
        <v>5</v>
      </c>
      <c r="J69" s="8">
        <f t="shared" ref="J69:J132" si="8">SUM(F69:H69)</f>
        <v>4</v>
      </c>
      <c r="K69" s="15">
        <v>2.546296309446916E-4</v>
      </c>
      <c r="M69" s="8">
        <f t="shared" si="4"/>
        <v>164</v>
      </c>
      <c r="N69" s="9" t="s">
        <v>28</v>
      </c>
      <c r="O69" s="9" t="s">
        <v>16</v>
      </c>
      <c r="P69" s="9">
        <v>1039</v>
      </c>
      <c r="Q69" s="9">
        <v>448</v>
      </c>
      <c r="R69" s="8" t="s">
        <v>17</v>
      </c>
      <c r="S69" s="11">
        <v>83</v>
      </c>
      <c r="T69" s="10">
        <v>0.27</v>
      </c>
      <c r="X69" s="20"/>
      <c r="Y69" s="20"/>
    </row>
    <row r="70" spans="1:25" x14ac:dyDescent="0.3">
      <c r="A70" s="7">
        <f t="shared" si="5"/>
        <v>65</v>
      </c>
      <c r="B70" s="8">
        <v>16</v>
      </c>
      <c r="C70" s="9" t="str">
        <f t="shared" ref="C70:C133" si="9">M70&amp;N70&amp;O70&amp;P70&amp;Q70&amp;R70&amp;(S70*100)&amp;(T70*100)</f>
        <v>1650x85185fe3A4e36079818Ba1d12705A9B6898996700xa60AdD2af71a4f50b3F94509E71a1e9DbDeA5dDa1619245unidade2080027</v>
      </c>
      <c r="D70" s="13" t="s">
        <v>131</v>
      </c>
      <c r="E70" s="8" t="s">
        <v>1032</v>
      </c>
      <c r="F70" s="8">
        <f t="shared" si="7"/>
        <v>0</v>
      </c>
      <c r="G70" s="8">
        <f t="shared" si="7"/>
        <v>0</v>
      </c>
      <c r="H70" s="8">
        <f t="shared" si="7"/>
        <v>5</v>
      </c>
      <c r="I70" s="8">
        <f t="shared" si="7"/>
        <v>1</v>
      </c>
      <c r="J70" s="8">
        <f t="shared" si="8"/>
        <v>5</v>
      </c>
      <c r="K70" s="15">
        <v>0</v>
      </c>
      <c r="M70" s="8">
        <f t="shared" ref="M70:M133" si="10">1+M69</f>
        <v>165</v>
      </c>
      <c r="N70" s="9" t="s">
        <v>29</v>
      </c>
      <c r="O70" s="9" t="s">
        <v>16</v>
      </c>
      <c r="P70" s="9">
        <v>1619</v>
      </c>
      <c r="Q70" s="9">
        <v>245</v>
      </c>
      <c r="R70" s="8" t="s">
        <v>17</v>
      </c>
      <c r="S70" s="11">
        <v>208</v>
      </c>
      <c r="T70" s="10">
        <v>0.27</v>
      </c>
      <c r="X70" s="20"/>
      <c r="Y70" s="20"/>
    </row>
    <row r="71" spans="1:25" x14ac:dyDescent="0.3">
      <c r="A71" s="7">
        <f t="shared" ref="A71:A134" si="11">1+A70</f>
        <v>66</v>
      </c>
      <c r="B71" s="8">
        <v>515</v>
      </c>
      <c r="C71" s="9" t="str">
        <f t="shared" si="9"/>
        <v>1660x85185fe3A4e36079818Ba1d12705A9B6898996710xa60AdD2af71a4f50b3F94509E71a1e9DbDeA5dDa1589107unidade1600027</v>
      </c>
      <c r="D71" s="13" t="s">
        <v>132</v>
      </c>
      <c r="E71" s="8" t="s">
        <v>1033</v>
      </c>
      <c r="F71" s="8">
        <f t="shared" ref="F71:I106" si="12">IFERROR(VALUE(MID($E71,F$1,1)),1)</f>
        <v>0</v>
      </c>
      <c r="G71" s="8">
        <f t="shared" si="12"/>
        <v>0</v>
      </c>
      <c r="H71" s="8">
        <f t="shared" si="12"/>
        <v>9</v>
      </c>
      <c r="I71" s="8">
        <f t="shared" si="12"/>
        <v>1</v>
      </c>
      <c r="J71" s="8">
        <f t="shared" si="8"/>
        <v>9</v>
      </c>
      <c r="K71" s="15">
        <v>1.3888888497604057E-4</v>
      </c>
      <c r="M71" s="8">
        <f t="shared" si="10"/>
        <v>166</v>
      </c>
      <c r="N71" s="9" t="s">
        <v>30</v>
      </c>
      <c r="O71" s="9" t="s">
        <v>16</v>
      </c>
      <c r="P71" s="9">
        <v>1589</v>
      </c>
      <c r="Q71" s="9">
        <v>107</v>
      </c>
      <c r="R71" s="8" t="s">
        <v>17</v>
      </c>
      <c r="S71" s="11">
        <v>160</v>
      </c>
      <c r="T71" s="10">
        <v>0.27</v>
      </c>
      <c r="X71" s="20"/>
      <c r="Y71" s="20"/>
    </row>
    <row r="72" spans="1:25" x14ac:dyDescent="0.3">
      <c r="A72" s="7">
        <f t="shared" si="11"/>
        <v>67</v>
      </c>
      <c r="B72" s="8">
        <v>250</v>
      </c>
      <c r="C72" s="9" t="str">
        <f t="shared" si="9"/>
        <v>1670x85185fe3A4e36079818Ba1d12705A9B6898996720xa60AdD2af71a4f50b3F94509E71a1e9DbDeA5dDa1168317unidade1010027</v>
      </c>
      <c r="D72" s="13" t="s">
        <v>133</v>
      </c>
      <c r="E72" s="8" t="s">
        <v>1034</v>
      </c>
      <c r="F72" s="8">
        <f t="shared" si="12"/>
        <v>0</v>
      </c>
      <c r="G72" s="8">
        <f t="shared" si="12"/>
        <v>0</v>
      </c>
      <c r="H72" s="8">
        <f t="shared" si="12"/>
        <v>5</v>
      </c>
      <c r="I72" s="8">
        <f t="shared" si="12"/>
        <v>1</v>
      </c>
      <c r="J72" s="8">
        <f t="shared" si="8"/>
        <v>5</v>
      </c>
      <c r="K72" s="15">
        <v>5.7870369346346706E-5</v>
      </c>
      <c r="M72" s="8">
        <f t="shared" si="10"/>
        <v>167</v>
      </c>
      <c r="N72" s="9" t="s">
        <v>31</v>
      </c>
      <c r="O72" s="9" t="s">
        <v>16</v>
      </c>
      <c r="P72" s="9">
        <v>1168</v>
      </c>
      <c r="Q72" s="9">
        <v>317</v>
      </c>
      <c r="R72" s="8" t="s">
        <v>17</v>
      </c>
      <c r="S72" s="11">
        <v>101</v>
      </c>
      <c r="T72" s="10">
        <v>0.27</v>
      </c>
      <c r="X72" s="20"/>
      <c r="Y72" s="20"/>
    </row>
    <row r="73" spans="1:25" x14ac:dyDescent="0.3">
      <c r="A73" s="7">
        <f t="shared" si="11"/>
        <v>68</v>
      </c>
      <c r="B73" s="8">
        <v>160</v>
      </c>
      <c r="C73" s="9" t="str">
        <f t="shared" si="9"/>
        <v>1680x85185fe3A4e36079818Ba1d12705A9B6898996730xa60AdD2af71a4f50b3F94509E71a1e9DbDeA5dDa1893312unidade1630027</v>
      </c>
      <c r="D73" s="13" t="s">
        <v>134</v>
      </c>
      <c r="E73" s="8" t="s">
        <v>1035</v>
      </c>
      <c r="F73" s="8">
        <f t="shared" si="12"/>
        <v>0</v>
      </c>
      <c r="G73" s="8">
        <f t="shared" si="12"/>
        <v>0</v>
      </c>
      <c r="H73" s="8">
        <f t="shared" si="12"/>
        <v>1</v>
      </c>
      <c r="I73" s="8">
        <f t="shared" si="12"/>
        <v>6</v>
      </c>
      <c r="J73" s="8">
        <f t="shared" si="8"/>
        <v>1</v>
      </c>
      <c r="K73" s="15">
        <v>3.4722223062999547E-5</v>
      </c>
      <c r="M73" s="8">
        <f t="shared" si="10"/>
        <v>168</v>
      </c>
      <c r="N73" s="9" t="s">
        <v>32</v>
      </c>
      <c r="O73" s="9" t="s">
        <v>16</v>
      </c>
      <c r="P73" s="9">
        <v>1893</v>
      </c>
      <c r="Q73" s="9">
        <v>312</v>
      </c>
      <c r="R73" s="8" t="s">
        <v>17</v>
      </c>
      <c r="S73" s="11">
        <v>163</v>
      </c>
      <c r="T73" s="10">
        <v>0.27</v>
      </c>
      <c r="X73" s="20"/>
      <c r="Y73" s="20"/>
    </row>
    <row r="74" spans="1:25" x14ac:dyDescent="0.3">
      <c r="A74" s="7">
        <f t="shared" si="11"/>
        <v>69</v>
      </c>
      <c r="B74" s="8">
        <v>173</v>
      </c>
      <c r="C74" s="9" t="str">
        <f t="shared" si="9"/>
        <v>1690x85185fe3A4e36079818Ba1d12705A9B6898996740xa60AdD2af71a4f50b3F94509E71a1e9DbDeA5dDa1057439unidade700027</v>
      </c>
      <c r="D74" s="13" t="s">
        <v>135</v>
      </c>
      <c r="E74" s="8" t="s">
        <v>536</v>
      </c>
      <c r="F74" s="8">
        <f t="shared" si="12"/>
        <v>0</v>
      </c>
      <c r="G74" s="8">
        <f t="shared" si="12"/>
        <v>0</v>
      </c>
      <c r="H74" s="8">
        <f t="shared" si="12"/>
        <v>0</v>
      </c>
      <c r="I74" s="8">
        <f t="shared" si="12"/>
        <v>1</v>
      </c>
      <c r="J74" s="8">
        <f t="shared" si="8"/>
        <v>0</v>
      </c>
      <c r="K74" s="15">
        <v>4.6296292566694319E-5</v>
      </c>
      <c r="M74" s="8">
        <f t="shared" si="10"/>
        <v>169</v>
      </c>
      <c r="N74" s="9" t="s">
        <v>33</v>
      </c>
      <c r="O74" s="9" t="s">
        <v>16</v>
      </c>
      <c r="P74" s="9">
        <v>1057</v>
      </c>
      <c r="Q74" s="9">
        <v>439</v>
      </c>
      <c r="R74" s="8" t="s">
        <v>17</v>
      </c>
      <c r="S74" s="11">
        <v>70</v>
      </c>
      <c r="T74" s="10">
        <v>0.27</v>
      </c>
      <c r="X74" s="20"/>
      <c r="Y74" s="20"/>
    </row>
    <row r="75" spans="1:25" x14ac:dyDescent="0.3">
      <c r="A75" s="7">
        <f t="shared" si="11"/>
        <v>70</v>
      </c>
      <c r="B75" s="8">
        <v>34</v>
      </c>
      <c r="C75" s="9" t="str">
        <f t="shared" si="9"/>
        <v>1700x85185fe3A4e36079818Ba1d12705A9B6898996750xa60AdD2af71a4f50b3F94509E71a1e9DbDeA5dDa1576199unidade1350027</v>
      </c>
      <c r="D75" s="13" t="s">
        <v>136</v>
      </c>
      <c r="E75" s="8" t="s">
        <v>1036</v>
      </c>
      <c r="F75" s="8">
        <f t="shared" si="12"/>
        <v>0</v>
      </c>
      <c r="G75" s="8">
        <f t="shared" si="12"/>
        <v>0</v>
      </c>
      <c r="H75" s="8">
        <f t="shared" si="12"/>
        <v>1</v>
      </c>
      <c r="I75" s="8">
        <f t="shared" si="12"/>
        <v>1</v>
      </c>
      <c r="J75" s="8">
        <f t="shared" si="8"/>
        <v>1</v>
      </c>
      <c r="K75" s="15">
        <v>1.1574076779652387E-5</v>
      </c>
      <c r="M75" s="8">
        <f t="shared" si="10"/>
        <v>170</v>
      </c>
      <c r="N75" s="9" t="s">
        <v>34</v>
      </c>
      <c r="O75" s="9" t="s">
        <v>16</v>
      </c>
      <c r="P75" s="9">
        <v>1576</v>
      </c>
      <c r="Q75" s="9">
        <v>199</v>
      </c>
      <c r="R75" s="8" t="s">
        <v>17</v>
      </c>
      <c r="S75" s="11">
        <v>135</v>
      </c>
      <c r="T75" s="10">
        <v>0.27</v>
      </c>
      <c r="X75" s="20"/>
      <c r="Y75" s="20"/>
    </row>
    <row r="76" spans="1:25" x14ac:dyDescent="0.3">
      <c r="A76" s="7">
        <f t="shared" si="11"/>
        <v>71</v>
      </c>
      <c r="B76" s="8">
        <v>107</v>
      </c>
      <c r="C76" s="9" t="str">
        <f t="shared" si="9"/>
        <v>1710x85185fe3A4e36079818Ba1d12705A9B6898996760xa60AdD2af71a4f50b3F94509E71a1e9DbDeA5dDa1583344unidade600027</v>
      </c>
      <c r="D76" s="13" t="s">
        <v>137</v>
      </c>
      <c r="E76" s="8" t="s">
        <v>1037</v>
      </c>
      <c r="F76" s="8">
        <f t="shared" si="12"/>
        <v>0</v>
      </c>
      <c r="G76" s="8">
        <f t="shared" si="12"/>
        <v>0</v>
      </c>
      <c r="H76" s="8">
        <f t="shared" si="12"/>
        <v>3</v>
      </c>
      <c r="I76" s="8">
        <f t="shared" si="12"/>
        <v>7</v>
      </c>
      <c r="J76" s="8">
        <f t="shared" si="8"/>
        <v>3</v>
      </c>
      <c r="K76" s="15">
        <v>2.314814628334716E-5</v>
      </c>
      <c r="M76" s="8">
        <f t="shared" si="10"/>
        <v>171</v>
      </c>
      <c r="N76" s="9" t="s">
        <v>35</v>
      </c>
      <c r="O76" s="9" t="s">
        <v>16</v>
      </c>
      <c r="P76" s="9">
        <v>1583</v>
      </c>
      <c r="Q76" s="9">
        <v>344</v>
      </c>
      <c r="R76" s="8" t="s">
        <v>17</v>
      </c>
      <c r="S76" s="11">
        <v>60</v>
      </c>
      <c r="T76" s="10">
        <v>0.27</v>
      </c>
      <c r="X76" s="20"/>
      <c r="Y76" s="20"/>
    </row>
    <row r="77" spans="1:25" x14ac:dyDescent="0.3">
      <c r="A77" s="7">
        <f t="shared" si="11"/>
        <v>72</v>
      </c>
      <c r="B77" s="8">
        <v>623</v>
      </c>
      <c r="C77" s="9" t="str">
        <f t="shared" si="9"/>
        <v>1720x85185fe3A4e36079818Ba1d12705A9B6898996770xa60AdD2af71a4f50b3F94509E71a1e9DbDeA5dDa1195486unidade2470027</v>
      </c>
      <c r="D77" s="13" t="s">
        <v>138</v>
      </c>
      <c r="E77" s="8" t="s">
        <v>1038</v>
      </c>
      <c r="F77" s="8">
        <f t="shared" si="12"/>
        <v>0</v>
      </c>
      <c r="G77" s="8">
        <f t="shared" si="12"/>
        <v>0</v>
      </c>
      <c r="H77" s="8">
        <f t="shared" si="12"/>
        <v>7</v>
      </c>
      <c r="I77" s="8">
        <f t="shared" si="12"/>
        <v>1</v>
      </c>
      <c r="J77" s="8">
        <f t="shared" si="8"/>
        <v>7</v>
      </c>
      <c r="K77" s="15">
        <v>1.6203703853534535E-4</v>
      </c>
      <c r="M77" s="8">
        <f t="shared" si="10"/>
        <v>172</v>
      </c>
      <c r="N77" s="9" t="s">
        <v>36</v>
      </c>
      <c r="O77" s="9" t="s">
        <v>16</v>
      </c>
      <c r="P77" s="9">
        <v>1195</v>
      </c>
      <c r="Q77" s="9">
        <v>486</v>
      </c>
      <c r="R77" s="8" t="s">
        <v>17</v>
      </c>
      <c r="S77" s="11">
        <v>247</v>
      </c>
      <c r="T77" s="10">
        <v>0.27</v>
      </c>
      <c r="X77" s="20"/>
      <c r="Y77" s="20"/>
    </row>
    <row r="78" spans="1:25" x14ac:dyDescent="0.3">
      <c r="A78" s="7">
        <f t="shared" si="11"/>
        <v>73</v>
      </c>
      <c r="B78" s="8">
        <v>307</v>
      </c>
      <c r="C78" s="9" t="str">
        <f t="shared" si="9"/>
        <v>1730x85185fe3A4e36079818Ba1d12705A9B6898996780xa60AdD2af71a4f50b3F94509E71a1e9DbDeA5dDa1674246unidade880027</v>
      </c>
      <c r="D78" s="13" t="s">
        <v>139</v>
      </c>
      <c r="E78" s="8" t="s">
        <v>1039</v>
      </c>
      <c r="F78" s="8">
        <f t="shared" si="12"/>
        <v>0</v>
      </c>
      <c r="G78" s="8">
        <f t="shared" si="12"/>
        <v>0</v>
      </c>
      <c r="H78" s="8">
        <f t="shared" si="12"/>
        <v>4</v>
      </c>
      <c r="I78" s="8">
        <f t="shared" si="12"/>
        <v>6</v>
      </c>
      <c r="J78" s="8">
        <f t="shared" si="8"/>
        <v>4</v>
      </c>
      <c r="K78" s="15">
        <v>8.101852290565148E-5</v>
      </c>
      <c r="M78" s="8">
        <f t="shared" si="10"/>
        <v>173</v>
      </c>
      <c r="N78" s="9" t="s">
        <v>37</v>
      </c>
      <c r="O78" s="9" t="s">
        <v>16</v>
      </c>
      <c r="P78" s="9">
        <v>1674</v>
      </c>
      <c r="Q78" s="9">
        <v>246</v>
      </c>
      <c r="R78" s="8" t="s">
        <v>17</v>
      </c>
      <c r="S78" s="11">
        <v>88</v>
      </c>
      <c r="T78" s="10">
        <v>0.27</v>
      </c>
      <c r="X78" s="20"/>
      <c r="Y78" s="20"/>
    </row>
    <row r="79" spans="1:25" x14ac:dyDescent="0.3">
      <c r="A79" s="7">
        <f t="shared" si="11"/>
        <v>74</v>
      </c>
      <c r="B79" s="8">
        <v>103</v>
      </c>
      <c r="C79" s="9" t="str">
        <f t="shared" si="9"/>
        <v>1740x85185fe3A4e36079818Ba1d12705A9B6898996790xa60AdD2af71a4f50b3F94509E71a1e9DbDeA5dDa1054470unidade2180027</v>
      </c>
      <c r="D79" s="13" t="s">
        <v>140</v>
      </c>
      <c r="E79" s="8" t="s">
        <v>1040</v>
      </c>
      <c r="F79" s="8">
        <f t="shared" si="12"/>
        <v>0</v>
      </c>
      <c r="G79" s="8">
        <f t="shared" si="12"/>
        <v>0</v>
      </c>
      <c r="H79" s="8">
        <f t="shared" si="12"/>
        <v>7</v>
      </c>
      <c r="I79" s="8">
        <f t="shared" si="12"/>
        <v>1</v>
      </c>
      <c r="J79" s="8">
        <f t="shared" si="8"/>
        <v>7</v>
      </c>
      <c r="K79" s="15">
        <v>2.314814628334716E-5</v>
      </c>
      <c r="M79" s="8">
        <f t="shared" si="10"/>
        <v>174</v>
      </c>
      <c r="N79" s="9" t="s">
        <v>38</v>
      </c>
      <c r="O79" s="9" t="s">
        <v>16</v>
      </c>
      <c r="P79" s="9">
        <v>1054</v>
      </c>
      <c r="Q79" s="9">
        <v>470</v>
      </c>
      <c r="R79" s="8" t="s">
        <v>17</v>
      </c>
      <c r="S79" s="11">
        <v>218</v>
      </c>
      <c r="T79" s="10">
        <v>0.27</v>
      </c>
      <c r="X79" s="20"/>
      <c r="Y79" s="20"/>
    </row>
    <row r="80" spans="1:25" x14ac:dyDescent="0.3">
      <c r="A80" s="7">
        <f t="shared" si="11"/>
        <v>75</v>
      </c>
      <c r="B80" s="8">
        <v>13</v>
      </c>
      <c r="C80" s="9" t="str">
        <f t="shared" si="9"/>
        <v>1750x85185fe3A4e36079818Ba1d12705A9B6898996800xa60AdD2af71a4f50b3F94509E71a1e9DbDeA5dDa1335259unidade1750027</v>
      </c>
      <c r="D80" s="13" t="s">
        <v>141</v>
      </c>
      <c r="E80" s="8" t="s">
        <v>1041</v>
      </c>
      <c r="F80" s="8">
        <f t="shared" si="12"/>
        <v>0</v>
      </c>
      <c r="G80" s="8">
        <f t="shared" si="12"/>
        <v>0</v>
      </c>
      <c r="H80" s="8">
        <f t="shared" si="12"/>
        <v>1</v>
      </c>
      <c r="I80" s="8">
        <f t="shared" si="12"/>
        <v>1</v>
      </c>
      <c r="J80" s="8">
        <f t="shared" si="8"/>
        <v>1</v>
      </c>
      <c r="K80" s="15">
        <v>1.1574069503694773E-5</v>
      </c>
      <c r="M80" s="8">
        <f t="shared" si="10"/>
        <v>175</v>
      </c>
      <c r="N80" s="9" t="s">
        <v>39</v>
      </c>
      <c r="O80" s="9" t="s">
        <v>16</v>
      </c>
      <c r="P80" s="9">
        <v>1335</v>
      </c>
      <c r="Q80" s="9">
        <v>259</v>
      </c>
      <c r="R80" s="8" t="s">
        <v>17</v>
      </c>
      <c r="S80" s="11">
        <v>175</v>
      </c>
      <c r="T80" s="10">
        <v>0.27</v>
      </c>
      <c r="X80" s="20"/>
      <c r="Y80" s="20"/>
    </row>
    <row r="81" spans="1:25" x14ac:dyDescent="0.3">
      <c r="A81" s="7">
        <f t="shared" si="11"/>
        <v>76</v>
      </c>
      <c r="B81" s="8">
        <v>108</v>
      </c>
      <c r="C81" s="9" t="str">
        <f t="shared" si="9"/>
        <v>1760x85185fe3A4e36079818Ba1d12705A9B6898996810xa60AdD2af71a4f50b3F94509E71a1e9DbDeA5dDa1986186unidade2180027</v>
      </c>
      <c r="D81" s="13" t="s">
        <v>142</v>
      </c>
      <c r="E81" s="8" t="s">
        <v>1042</v>
      </c>
      <c r="F81" s="8">
        <f t="shared" si="12"/>
        <v>0</v>
      </c>
      <c r="G81" s="8">
        <f t="shared" si="12"/>
        <v>0</v>
      </c>
      <c r="H81" s="8">
        <f t="shared" si="12"/>
        <v>7</v>
      </c>
      <c r="I81" s="8">
        <f t="shared" si="12"/>
        <v>5</v>
      </c>
      <c r="J81" s="8">
        <f t="shared" si="8"/>
        <v>7</v>
      </c>
      <c r="K81" s="15">
        <v>2.3148153559304774E-5</v>
      </c>
      <c r="M81" s="8">
        <f t="shared" si="10"/>
        <v>176</v>
      </c>
      <c r="N81" s="9" t="s">
        <v>40</v>
      </c>
      <c r="O81" s="9" t="s">
        <v>16</v>
      </c>
      <c r="P81" s="9">
        <v>1986</v>
      </c>
      <c r="Q81" s="9">
        <v>186</v>
      </c>
      <c r="R81" s="8" t="s">
        <v>17</v>
      </c>
      <c r="S81" s="11">
        <v>218</v>
      </c>
      <c r="T81" s="10">
        <v>0.27</v>
      </c>
      <c r="X81" s="20"/>
      <c r="Y81" s="20"/>
    </row>
    <row r="82" spans="1:25" x14ac:dyDescent="0.3">
      <c r="A82" s="7">
        <f t="shared" si="11"/>
        <v>77</v>
      </c>
      <c r="B82" s="8">
        <v>628</v>
      </c>
      <c r="C82" s="9" t="str">
        <f t="shared" si="9"/>
        <v>1770x85185fe3A4e36079818Ba1d12705A9B6898996820xa60AdD2af71a4f50b3F94509E71a1e9DbDeA5dDa1004303unidade1660027</v>
      </c>
      <c r="D82" s="13" t="s">
        <v>143</v>
      </c>
      <c r="E82" s="8" t="s">
        <v>1043</v>
      </c>
      <c r="F82" s="8">
        <f t="shared" si="12"/>
        <v>0</v>
      </c>
      <c r="G82" s="8">
        <f t="shared" si="12"/>
        <v>0</v>
      </c>
      <c r="H82" s="8">
        <f t="shared" si="12"/>
        <v>1</v>
      </c>
      <c r="I82" s="8">
        <f t="shared" si="12"/>
        <v>1</v>
      </c>
      <c r="J82" s="8">
        <f t="shared" si="8"/>
        <v>1</v>
      </c>
      <c r="K82" s="15">
        <v>1.5046296175569296E-4</v>
      </c>
      <c r="M82" s="8">
        <f t="shared" si="10"/>
        <v>177</v>
      </c>
      <c r="N82" s="9" t="s">
        <v>41</v>
      </c>
      <c r="O82" s="9" t="s">
        <v>16</v>
      </c>
      <c r="P82" s="9">
        <v>1004</v>
      </c>
      <c r="Q82" s="9">
        <v>303</v>
      </c>
      <c r="R82" s="8" t="s">
        <v>17</v>
      </c>
      <c r="S82" s="11">
        <v>166</v>
      </c>
      <c r="T82" s="10">
        <v>0.27</v>
      </c>
      <c r="X82" s="20"/>
      <c r="Y82" s="20"/>
    </row>
    <row r="83" spans="1:25" x14ac:dyDescent="0.3">
      <c r="A83" s="7">
        <f t="shared" si="11"/>
        <v>78</v>
      </c>
      <c r="B83" s="8">
        <v>971</v>
      </c>
      <c r="C83" s="9" t="str">
        <f t="shared" si="9"/>
        <v>1780x85185fe3A4e36079818Ba1d12705A9B6898996830xa60AdD2af71a4f50b3F94509E71a1e9DbDeA5dDa1196195unidade2000027</v>
      </c>
      <c r="D83" s="13" t="s">
        <v>144</v>
      </c>
      <c r="E83" s="8" t="s">
        <v>1044</v>
      </c>
      <c r="F83" s="8">
        <f t="shared" si="12"/>
        <v>0</v>
      </c>
      <c r="G83" s="8">
        <f t="shared" si="12"/>
        <v>0</v>
      </c>
      <c r="H83" s="8">
        <f t="shared" si="12"/>
        <v>4</v>
      </c>
      <c r="I83" s="8">
        <f t="shared" si="12"/>
        <v>1</v>
      </c>
      <c r="J83" s="8">
        <f t="shared" si="8"/>
        <v>4</v>
      </c>
      <c r="K83" s="15">
        <v>2.1990740788169205E-4</v>
      </c>
      <c r="M83" s="8">
        <f t="shared" si="10"/>
        <v>178</v>
      </c>
      <c r="N83" s="9" t="s">
        <v>42</v>
      </c>
      <c r="O83" s="9" t="s">
        <v>16</v>
      </c>
      <c r="P83" s="9">
        <v>1196</v>
      </c>
      <c r="Q83" s="9">
        <v>195</v>
      </c>
      <c r="R83" s="8" t="s">
        <v>17</v>
      </c>
      <c r="S83" s="11">
        <v>200</v>
      </c>
      <c r="T83" s="10">
        <v>0.27</v>
      </c>
      <c r="X83" s="20"/>
      <c r="Y83" s="20"/>
    </row>
    <row r="84" spans="1:25" x14ac:dyDescent="0.3">
      <c r="A84" s="7">
        <f t="shared" si="11"/>
        <v>79</v>
      </c>
      <c r="B84" s="8">
        <v>82</v>
      </c>
      <c r="C84" s="9" t="str">
        <f t="shared" si="9"/>
        <v>1790x85185fe3A4e36079818Ba1d12705A9B6898996840xa60AdD2af71a4f50b3F94509E71a1e9DbDeA5dDa1079472unidade1960027</v>
      </c>
      <c r="D84" s="13" t="s">
        <v>145</v>
      </c>
      <c r="E84" s="8" t="s">
        <v>1045</v>
      </c>
      <c r="F84" s="8">
        <f t="shared" si="12"/>
        <v>0</v>
      </c>
      <c r="G84" s="8">
        <f t="shared" si="12"/>
        <v>0</v>
      </c>
      <c r="H84" s="8">
        <f t="shared" si="12"/>
        <v>5</v>
      </c>
      <c r="I84" s="8">
        <f t="shared" si="12"/>
        <v>1</v>
      </c>
      <c r="J84" s="8">
        <f t="shared" si="8"/>
        <v>5</v>
      </c>
      <c r="K84" s="15">
        <v>1.1574069503694773E-5</v>
      </c>
      <c r="M84" s="8">
        <f t="shared" si="10"/>
        <v>179</v>
      </c>
      <c r="N84" s="9" t="s">
        <v>43</v>
      </c>
      <c r="O84" s="9" t="s">
        <v>16</v>
      </c>
      <c r="P84" s="9">
        <v>1079</v>
      </c>
      <c r="Q84" s="9">
        <v>472</v>
      </c>
      <c r="R84" s="8" t="s">
        <v>17</v>
      </c>
      <c r="S84" s="11">
        <v>196</v>
      </c>
      <c r="T84" s="10">
        <v>0.27</v>
      </c>
      <c r="X84" s="20"/>
      <c r="Y84" s="20"/>
    </row>
    <row r="85" spans="1:25" x14ac:dyDescent="0.3">
      <c r="A85" s="7">
        <f t="shared" si="11"/>
        <v>80</v>
      </c>
      <c r="B85" s="8">
        <v>129</v>
      </c>
      <c r="C85" s="9" t="str">
        <f t="shared" si="9"/>
        <v>1800x85185fe3A4e36079818Ba1d12705A9B6898996850xa60AdD2af71a4f50b3F94509E71a1e9DbDeA5dDa1057400unidade580027</v>
      </c>
      <c r="D85" s="13" t="s">
        <v>146</v>
      </c>
      <c r="E85" s="8" t="s">
        <v>1046</v>
      </c>
      <c r="F85" s="8">
        <f t="shared" si="12"/>
        <v>0</v>
      </c>
      <c r="G85" s="8">
        <f t="shared" si="12"/>
        <v>0</v>
      </c>
      <c r="H85" s="8">
        <f t="shared" si="12"/>
        <v>8</v>
      </c>
      <c r="I85" s="8">
        <f t="shared" si="12"/>
        <v>1</v>
      </c>
      <c r="J85" s="8">
        <f t="shared" si="8"/>
        <v>8</v>
      </c>
      <c r="K85" s="15">
        <v>3.4722223062999547E-5</v>
      </c>
      <c r="M85" s="8">
        <f t="shared" si="10"/>
        <v>180</v>
      </c>
      <c r="N85" s="9" t="s">
        <v>44</v>
      </c>
      <c r="O85" s="9" t="s">
        <v>16</v>
      </c>
      <c r="P85" s="9">
        <v>1057</v>
      </c>
      <c r="Q85" s="9">
        <v>400</v>
      </c>
      <c r="R85" s="8" t="s">
        <v>17</v>
      </c>
      <c r="S85" s="11">
        <v>58</v>
      </c>
      <c r="T85" s="10">
        <v>0.27</v>
      </c>
      <c r="X85" s="20"/>
      <c r="Y85" s="20"/>
    </row>
    <row r="86" spans="1:25" x14ac:dyDescent="0.3">
      <c r="A86" s="7">
        <f t="shared" si="11"/>
        <v>81</v>
      </c>
      <c r="B86" s="8">
        <v>197</v>
      </c>
      <c r="C86" s="9" t="str">
        <f t="shared" si="9"/>
        <v>1810x85185fe3A4e36079818Ba1d12705A9B6898996860xa60AdD2af71a4f50b3F94509E71a1e9DbDeA5dDa1088351unidade2400027</v>
      </c>
      <c r="D86" s="13" t="s">
        <v>147</v>
      </c>
      <c r="E86" s="8" t="s">
        <v>1047</v>
      </c>
      <c r="F86" s="8">
        <f t="shared" si="12"/>
        <v>0</v>
      </c>
      <c r="G86" s="8">
        <f t="shared" si="12"/>
        <v>0</v>
      </c>
      <c r="H86" s="8">
        <f t="shared" si="12"/>
        <v>1</v>
      </c>
      <c r="I86" s="8">
        <f t="shared" si="12"/>
        <v>1</v>
      </c>
      <c r="J86" s="8">
        <f t="shared" si="8"/>
        <v>1</v>
      </c>
      <c r="K86" s="15">
        <v>3.4722223062999547E-5</v>
      </c>
      <c r="M86" s="8">
        <f t="shared" si="10"/>
        <v>181</v>
      </c>
      <c r="N86" s="9" t="s">
        <v>45</v>
      </c>
      <c r="O86" s="9" t="s">
        <v>16</v>
      </c>
      <c r="P86" s="9">
        <v>1088</v>
      </c>
      <c r="Q86" s="9">
        <v>351</v>
      </c>
      <c r="R86" s="8" t="s">
        <v>17</v>
      </c>
      <c r="S86" s="11">
        <v>240</v>
      </c>
      <c r="T86" s="10">
        <v>0.27</v>
      </c>
      <c r="X86" s="20"/>
      <c r="Y86" s="20"/>
    </row>
    <row r="87" spans="1:25" x14ac:dyDescent="0.3">
      <c r="A87" s="7">
        <f t="shared" si="11"/>
        <v>82</v>
      </c>
      <c r="B87" s="8">
        <v>226</v>
      </c>
      <c r="C87" s="9" t="str">
        <f t="shared" si="9"/>
        <v>1820x85185fe3A4e36079818Ba1d12705A9B6898996870xa60AdD2af71a4f50b3F94509E71a1e9DbDeA5dDa1040455unidade2370027</v>
      </c>
      <c r="D87" s="13" t="s">
        <v>148</v>
      </c>
      <c r="E87" s="8" t="s">
        <v>1048</v>
      </c>
      <c r="F87" s="8">
        <f t="shared" si="12"/>
        <v>0</v>
      </c>
      <c r="G87" s="8">
        <f t="shared" si="12"/>
        <v>0</v>
      </c>
      <c r="H87" s="8">
        <f t="shared" si="12"/>
        <v>2</v>
      </c>
      <c r="I87" s="8">
        <f t="shared" si="12"/>
        <v>2</v>
      </c>
      <c r="J87" s="8">
        <f t="shared" si="8"/>
        <v>2</v>
      </c>
      <c r="K87" s="15">
        <v>4.6296292566694319E-5</v>
      </c>
      <c r="M87" s="8">
        <f t="shared" si="10"/>
        <v>182</v>
      </c>
      <c r="N87" s="9" t="s">
        <v>46</v>
      </c>
      <c r="O87" s="9" t="s">
        <v>16</v>
      </c>
      <c r="P87" s="9">
        <v>1040</v>
      </c>
      <c r="Q87" s="9">
        <v>455</v>
      </c>
      <c r="R87" s="8" t="s">
        <v>17</v>
      </c>
      <c r="S87" s="11">
        <v>237</v>
      </c>
      <c r="T87" s="10">
        <v>0.27</v>
      </c>
      <c r="X87" s="20"/>
      <c r="Y87" s="20"/>
    </row>
    <row r="88" spans="1:25" x14ac:dyDescent="0.3">
      <c r="A88" s="7">
        <f t="shared" si="11"/>
        <v>83</v>
      </c>
      <c r="B88" s="8">
        <v>216</v>
      </c>
      <c r="C88" s="9" t="str">
        <f t="shared" si="9"/>
        <v>1830x85185fe3A4e36079818Ba1d12705A9B6898996880xa60AdD2af71a4f50b3F94509E71a1e9DbDeA5dDa1389340unidade1230027</v>
      </c>
      <c r="D88" s="13" t="s">
        <v>149</v>
      </c>
      <c r="E88" s="8" t="s">
        <v>1049</v>
      </c>
      <c r="F88" s="8">
        <f t="shared" si="12"/>
        <v>0</v>
      </c>
      <c r="G88" s="8">
        <f t="shared" si="12"/>
        <v>0</v>
      </c>
      <c r="H88" s="8">
        <f t="shared" si="12"/>
        <v>5</v>
      </c>
      <c r="I88" s="8">
        <f t="shared" si="12"/>
        <v>4</v>
      </c>
      <c r="J88" s="8">
        <f t="shared" si="8"/>
        <v>5</v>
      </c>
      <c r="K88" s="15">
        <v>4.6296299842651933E-5</v>
      </c>
      <c r="M88" s="8">
        <f t="shared" si="10"/>
        <v>183</v>
      </c>
      <c r="N88" s="9" t="s">
        <v>47</v>
      </c>
      <c r="O88" s="9" t="s">
        <v>16</v>
      </c>
      <c r="P88" s="9">
        <v>1389</v>
      </c>
      <c r="Q88" s="9">
        <v>340</v>
      </c>
      <c r="R88" s="8" t="s">
        <v>17</v>
      </c>
      <c r="S88" s="11">
        <v>123</v>
      </c>
      <c r="T88" s="10">
        <v>0.27</v>
      </c>
      <c r="X88" s="20"/>
      <c r="Y88" s="20"/>
    </row>
    <row r="89" spans="1:25" x14ac:dyDescent="0.3">
      <c r="A89" s="7">
        <f t="shared" si="11"/>
        <v>84</v>
      </c>
      <c r="B89" s="8">
        <v>363</v>
      </c>
      <c r="C89" s="9" t="str">
        <f t="shared" si="9"/>
        <v>1840x85185fe3A4e36079818Ba1d12705A9B6898996890xa60AdD2af71a4f50b3F94509E71a1e9DbDeA5dDa1433262unidade690027</v>
      </c>
      <c r="D89" s="13" t="s">
        <v>150</v>
      </c>
      <c r="E89" s="8" t="s">
        <v>1050</v>
      </c>
      <c r="F89" s="8">
        <f t="shared" si="12"/>
        <v>0</v>
      </c>
      <c r="G89" s="8">
        <f t="shared" si="12"/>
        <v>0</v>
      </c>
      <c r="H89" s="8">
        <f t="shared" si="12"/>
        <v>1</v>
      </c>
      <c r="I89" s="8">
        <f t="shared" si="12"/>
        <v>1</v>
      </c>
      <c r="J89" s="8">
        <f t="shared" si="8"/>
        <v>1</v>
      </c>
      <c r="K89" s="15">
        <v>6.9444446125999093E-5</v>
      </c>
      <c r="M89" s="8">
        <f t="shared" si="10"/>
        <v>184</v>
      </c>
      <c r="N89" s="9" t="s">
        <v>48</v>
      </c>
      <c r="O89" s="9" t="s">
        <v>16</v>
      </c>
      <c r="P89" s="9">
        <v>1433</v>
      </c>
      <c r="Q89" s="9">
        <v>262</v>
      </c>
      <c r="R89" s="8" t="s">
        <v>17</v>
      </c>
      <c r="S89" s="11">
        <v>69</v>
      </c>
      <c r="T89" s="10">
        <v>0.27</v>
      </c>
      <c r="X89" s="20"/>
      <c r="Y89" s="20"/>
    </row>
    <row r="90" spans="1:25" x14ac:dyDescent="0.3">
      <c r="A90" s="7">
        <f t="shared" si="11"/>
        <v>85</v>
      </c>
      <c r="B90" s="8">
        <v>96</v>
      </c>
      <c r="C90" s="9" t="str">
        <f t="shared" si="9"/>
        <v>1850x85185fe3A4e36079818Ba1d12705A9B6898996900xa60AdD2af71a4f50b3F94509E71a1e9DbDeA5dDa1388334unidade2260027</v>
      </c>
      <c r="D90" s="13" t="s">
        <v>151</v>
      </c>
      <c r="E90" s="8" t="s">
        <v>1051</v>
      </c>
      <c r="F90" s="8">
        <f t="shared" si="12"/>
        <v>0</v>
      </c>
      <c r="G90" s="8">
        <f t="shared" si="12"/>
        <v>0</v>
      </c>
      <c r="H90" s="8">
        <f t="shared" si="12"/>
        <v>5</v>
      </c>
      <c r="I90" s="8">
        <f t="shared" si="12"/>
        <v>1</v>
      </c>
      <c r="J90" s="8">
        <f t="shared" si="8"/>
        <v>5</v>
      </c>
      <c r="K90" s="15">
        <v>2.314814628334716E-5</v>
      </c>
      <c r="M90" s="8">
        <f t="shared" si="10"/>
        <v>185</v>
      </c>
      <c r="N90" s="9" t="s">
        <v>49</v>
      </c>
      <c r="O90" s="9" t="s">
        <v>16</v>
      </c>
      <c r="P90" s="9">
        <v>1388</v>
      </c>
      <c r="Q90" s="9">
        <v>334</v>
      </c>
      <c r="R90" s="8" t="s">
        <v>17</v>
      </c>
      <c r="S90" s="11">
        <v>226</v>
      </c>
      <c r="T90" s="10">
        <v>0.27</v>
      </c>
      <c r="X90" s="20"/>
      <c r="Y90" s="20"/>
    </row>
    <row r="91" spans="1:25" x14ac:dyDescent="0.3">
      <c r="A91" s="7">
        <f t="shared" si="11"/>
        <v>86</v>
      </c>
      <c r="B91" s="8">
        <v>383</v>
      </c>
      <c r="C91" s="9" t="str">
        <f t="shared" si="9"/>
        <v>1860x85185fe3A4e36079818Ba1d12705A9B6898996910xa60AdD2af71a4f50b3F94509E71a1e9DbDeA5dDa1447208unidade1580027</v>
      </c>
      <c r="D91" s="13" t="s">
        <v>152</v>
      </c>
      <c r="E91" s="8" t="s">
        <v>1052</v>
      </c>
      <c r="F91" s="8">
        <f t="shared" si="12"/>
        <v>0</v>
      </c>
      <c r="G91" s="8">
        <f t="shared" si="12"/>
        <v>0</v>
      </c>
      <c r="H91" s="8">
        <f t="shared" si="12"/>
        <v>8</v>
      </c>
      <c r="I91" s="8">
        <f t="shared" si="12"/>
        <v>3</v>
      </c>
      <c r="J91" s="8">
        <f t="shared" si="8"/>
        <v>8</v>
      </c>
      <c r="K91" s="15">
        <v>8.1018515629693866E-5</v>
      </c>
      <c r="M91" s="8">
        <f t="shared" si="10"/>
        <v>186</v>
      </c>
      <c r="N91" s="9" t="s">
        <v>50</v>
      </c>
      <c r="O91" s="9" t="s">
        <v>16</v>
      </c>
      <c r="P91" s="9">
        <v>1447</v>
      </c>
      <c r="Q91" s="9">
        <v>208</v>
      </c>
      <c r="R91" s="8" t="s">
        <v>17</v>
      </c>
      <c r="S91" s="11">
        <v>158</v>
      </c>
      <c r="T91" s="10">
        <v>0.27</v>
      </c>
      <c r="X91" s="20"/>
      <c r="Y91" s="20"/>
    </row>
    <row r="92" spans="1:25" x14ac:dyDescent="0.3">
      <c r="A92" s="7">
        <f t="shared" si="11"/>
        <v>87</v>
      </c>
      <c r="B92" s="8">
        <v>345</v>
      </c>
      <c r="C92" s="9" t="str">
        <f t="shared" si="9"/>
        <v>1870x85185fe3A4e36079818Ba1d12705A9B6898996920xa60AdD2af71a4f50b3F94509E71a1e9DbDeA5dDa1538427unidade2240027</v>
      </c>
      <c r="D92" s="13" t="s">
        <v>153</v>
      </c>
      <c r="E92" s="8" t="s">
        <v>1053</v>
      </c>
      <c r="F92" s="8">
        <f t="shared" si="12"/>
        <v>0</v>
      </c>
      <c r="G92" s="8">
        <f t="shared" si="12"/>
        <v>0</v>
      </c>
      <c r="H92" s="8">
        <f t="shared" si="12"/>
        <v>1</v>
      </c>
      <c r="I92" s="8">
        <f t="shared" si="12"/>
        <v>5</v>
      </c>
      <c r="J92" s="8">
        <f t="shared" si="8"/>
        <v>1</v>
      </c>
      <c r="K92" s="15">
        <v>6.9444446125999093E-5</v>
      </c>
      <c r="M92" s="8">
        <f t="shared" si="10"/>
        <v>187</v>
      </c>
      <c r="N92" s="9" t="s">
        <v>51</v>
      </c>
      <c r="O92" s="9" t="s">
        <v>16</v>
      </c>
      <c r="P92" s="9">
        <v>1538</v>
      </c>
      <c r="Q92" s="9">
        <v>427</v>
      </c>
      <c r="R92" s="8" t="s">
        <v>17</v>
      </c>
      <c r="S92" s="11">
        <v>224</v>
      </c>
      <c r="T92" s="10">
        <v>0.27</v>
      </c>
      <c r="X92" s="20"/>
      <c r="Y92" s="20"/>
    </row>
    <row r="93" spans="1:25" x14ac:dyDescent="0.3">
      <c r="A93" s="7">
        <f t="shared" si="11"/>
        <v>88</v>
      </c>
      <c r="B93" s="8">
        <v>732</v>
      </c>
      <c r="C93" s="9" t="str">
        <f t="shared" si="9"/>
        <v>1880x85185fe3A4e36079818Ba1d12705A9B6898996930xa60AdD2af71a4f50b3F94509E71a1e9DbDeA5dDa1865137unidade1770027</v>
      </c>
      <c r="D93" s="13" t="s">
        <v>154</v>
      </c>
      <c r="E93" s="8" t="s">
        <v>1054</v>
      </c>
      <c r="F93" s="8">
        <f t="shared" si="12"/>
        <v>0</v>
      </c>
      <c r="G93" s="8">
        <f t="shared" si="12"/>
        <v>0</v>
      </c>
      <c r="H93" s="8">
        <f t="shared" si="12"/>
        <v>1</v>
      </c>
      <c r="I93" s="8">
        <f t="shared" si="12"/>
        <v>4</v>
      </c>
      <c r="J93" s="8">
        <f t="shared" si="8"/>
        <v>1</v>
      </c>
      <c r="K93" s="15">
        <v>1.6203703853534535E-4</v>
      </c>
      <c r="M93" s="8">
        <f t="shared" si="10"/>
        <v>188</v>
      </c>
      <c r="N93" s="9" t="s">
        <v>52</v>
      </c>
      <c r="O93" s="9" t="s">
        <v>16</v>
      </c>
      <c r="P93" s="9">
        <v>1865</v>
      </c>
      <c r="Q93" s="9">
        <v>137</v>
      </c>
      <c r="R93" s="8" t="s">
        <v>17</v>
      </c>
      <c r="S93" s="11">
        <v>177</v>
      </c>
      <c r="T93" s="10">
        <v>0.27</v>
      </c>
      <c r="X93" s="20"/>
      <c r="Y93" s="20"/>
    </row>
    <row r="94" spans="1:25" x14ac:dyDescent="0.3">
      <c r="A94" s="7">
        <f t="shared" si="11"/>
        <v>89</v>
      </c>
      <c r="B94" s="8">
        <v>366</v>
      </c>
      <c r="C94" s="9" t="str">
        <f t="shared" si="9"/>
        <v>1890x85185fe3A4e36079818Ba1d12705A9B6898996940xa60AdD2af71a4f50b3F94509E71a1e9DbDeA5dDa1231107unidade670027</v>
      </c>
      <c r="D94" s="13" t="s">
        <v>155</v>
      </c>
      <c r="E94" s="8" t="s">
        <v>1055</v>
      </c>
      <c r="F94" s="8">
        <f t="shared" si="12"/>
        <v>0</v>
      </c>
      <c r="G94" s="8">
        <f t="shared" si="12"/>
        <v>0</v>
      </c>
      <c r="H94" s="8">
        <f t="shared" si="12"/>
        <v>9</v>
      </c>
      <c r="I94" s="8">
        <f t="shared" si="12"/>
        <v>1</v>
      </c>
      <c r="J94" s="8">
        <f t="shared" si="8"/>
        <v>9</v>
      </c>
      <c r="K94" s="15">
        <v>8.1018515629693866E-5</v>
      </c>
      <c r="M94" s="8">
        <f t="shared" si="10"/>
        <v>189</v>
      </c>
      <c r="N94" s="9" t="s">
        <v>53</v>
      </c>
      <c r="O94" s="9" t="s">
        <v>16</v>
      </c>
      <c r="P94" s="9">
        <v>1231</v>
      </c>
      <c r="Q94" s="9">
        <v>107</v>
      </c>
      <c r="R94" s="8" t="s">
        <v>17</v>
      </c>
      <c r="S94" s="11">
        <v>67</v>
      </c>
      <c r="T94" s="10">
        <v>0.27</v>
      </c>
      <c r="X94" s="20"/>
      <c r="Y94" s="20"/>
    </row>
    <row r="95" spans="1:25" x14ac:dyDescent="0.3">
      <c r="A95" s="7">
        <f t="shared" si="11"/>
        <v>90</v>
      </c>
      <c r="B95" s="8">
        <v>811</v>
      </c>
      <c r="C95" s="9" t="str">
        <f t="shared" si="9"/>
        <v>1900x85185fe3A4e36079818Ba1d12705A9B6898996950xa60AdD2af71a4f50b3F94509E71a1e9DbDeA5dDa1169477unidade600027</v>
      </c>
      <c r="D95" s="13" t="s">
        <v>156</v>
      </c>
      <c r="E95" s="8" t="s">
        <v>1056</v>
      </c>
      <c r="F95" s="8">
        <f t="shared" si="12"/>
        <v>0</v>
      </c>
      <c r="G95" s="8">
        <f t="shared" si="12"/>
        <v>0</v>
      </c>
      <c r="H95" s="8">
        <f t="shared" si="12"/>
        <v>1</v>
      </c>
      <c r="I95" s="8">
        <f t="shared" si="12"/>
        <v>1</v>
      </c>
      <c r="J95" s="8">
        <f t="shared" si="8"/>
        <v>1</v>
      </c>
      <c r="K95" s="15">
        <v>1.6203703853534535E-4</v>
      </c>
      <c r="M95" s="8">
        <f t="shared" si="10"/>
        <v>190</v>
      </c>
      <c r="N95" s="9" t="s">
        <v>54</v>
      </c>
      <c r="O95" s="9" t="s">
        <v>16</v>
      </c>
      <c r="P95" s="9">
        <v>1169</v>
      </c>
      <c r="Q95" s="9">
        <v>477</v>
      </c>
      <c r="R95" s="8" t="s">
        <v>17</v>
      </c>
      <c r="S95" s="11">
        <v>60</v>
      </c>
      <c r="T95" s="10">
        <v>0.27</v>
      </c>
      <c r="X95" s="20"/>
      <c r="Y95" s="20"/>
    </row>
    <row r="96" spans="1:25" x14ac:dyDescent="0.3">
      <c r="A96" s="7">
        <f t="shared" si="11"/>
        <v>91</v>
      </c>
      <c r="B96" s="8">
        <v>427</v>
      </c>
      <c r="C96" s="9" t="str">
        <f t="shared" si="9"/>
        <v>1910x85185fe3A4e36079818Ba1d12705A9B6898996960xa60AdD2af71a4f50b3F94509E71a1e9DbDeA5dDa1906126unidade1350027</v>
      </c>
      <c r="D96" s="13" t="s">
        <v>157</v>
      </c>
      <c r="E96" s="8" t="s">
        <v>1057</v>
      </c>
      <c r="F96" s="8">
        <f t="shared" si="12"/>
        <v>0</v>
      </c>
      <c r="G96" s="8">
        <f t="shared" si="12"/>
        <v>0</v>
      </c>
      <c r="H96" s="8">
        <f t="shared" si="12"/>
        <v>1</v>
      </c>
      <c r="I96" s="8">
        <f t="shared" si="12"/>
        <v>1</v>
      </c>
      <c r="J96" s="8">
        <f t="shared" si="8"/>
        <v>1</v>
      </c>
      <c r="K96" s="15">
        <v>1.0416666918899864E-4</v>
      </c>
      <c r="M96" s="8">
        <f t="shared" si="10"/>
        <v>191</v>
      </c>
      <c r="N96" s="9" t="s">
        <v>55</v>
      </c>
      <c r="O96" s="9" t="s">
        <v>16</v>
      </c>
      <c r="P96" s="9">
        <v>1906</v>
      </c>
      <c r="Q96" s="9">
        <v>126</v>
      </c>
      <c r="R96" s="8" t="s">
        <v>17</v>
      </c>
      <c r="S96" s="11">
        <v>135</v>
      </c>
      <c r="T96" s="10">
        <v>0.27</v>
      </c>
      <c r="X96" s="20"/>
      <c r="Y96" s="20"/>
    </row>
    <row r="97" spans="1:25" x14ac:dyDescent="0.3">
      <c r="A97" s="7">
        <f t="shared" si="11"/>
        <v>92</v>
      </c>
      <c r="B97" s="8">
        <v>833</v>
      </c>
      <c r="C97" s="9" t="str">
        <f t="shared" si="9"/>
        <v>1920x85185fe3A4e36079818Ba1d12705A9B6898996970xa60AdD2af71a4f50b3F94509E71a1e9DbDeA5dDa1610429unidade670027</v>
      </c>
      <c r="D97" s="13" t="s">
        <v>158</v>
      </c>
      <c r="E97" s="8" t="s">
        <v>1058</v>
      </c>
      <c r="F97" s="8">
        <f t="shared" si="12"/>
        <v>0</v>
      </c>
      <c r="G97" s="8">
        <f t="shared" si="12"/>
        <v>0</v>
      </c>
      <c r="H97" s="8">
        <f t="shared" si="12"/>
        <v>7</v>
      </c>
      <c r="I97" s="8">
        <f t="shared" si="12"/>
        <v>9</v>
      </c>
      <c r="J97" s="8">
        <f t="shared" si="8"/>
        <v>7</v>
      </c>
      <c r="K97" s="15">
        <v>1.8518518481869251E-4</v>
      </c>
      <c r="M97" s="8">
        <f t="shared" si="10"/>
        <v>192</v>
      </c>
      <c r="N97" s="9" t="s">
        <v>56</v>
      </c>
      <c r="O97" s="9" t="s">
        <v>16</v>
      </c>
      <c r="P97" s="9">
        <v>1610</v>
      </c>
      <c r="Q97" s="9">
        <v>429</v>
      </c>
      <c r="R97" s="8" t="s">
        <v>17</v>
      </c>
      <c r="S97" s="11">
        <v>67</v>
      </c>
      <c r="T97" s="10">
        <v>0.27</v>
      </c>
      <c r="X97" s="20"/>
      <c r="Y97" s="20"/>
    </row>
    <row r="98" spans="1:25" x14ac:dyDescent="0.3">
      <c r="A98" s="7">
        <f t="shared" si="11"/>
        <v>93</v>
      </c>
      <c r="B98" s="8">
        <v>37</v>
      </c>
      <c r="C98" s="9" t="str">
        <f t="shared" si="9"/>
        <v>1930x85185fe3A4e36079818Ba1d12705A9B6898996980xa60AdD2af71a4f50b3F94509E71a1e9DbDeA5dDa1853132unidade2370027</v>
      </c>
      <c r="D98" s="13" t="s">
        <v>159</v>
      </c>
      <c r="E98" s="8" t="s">
        <v>1059</v>
      </c>
      <c r="F98" s="8">
        <f t="shared" si="12"/>
        <v>0</v>
      </c>
      <c r="G98" s="8">
        <f t="shared" si="12"/>
        <v>0</v>
      </c>
      <c r="H98" s="8">
        <f t="shared" si="12"/>
        <v>1</v>
      </c>
      <c r="I98" s="8">
        <f t="shared" si="12"/>
        <v>6</v>
      </c>
      <c r="J98" s="8">
        <f t="shared" si="8"/>
        <v>1</v>
      </c>
      <c r="K98" s="15">
        <v>0</v>
      </c>
      <c r="M98" s="8">
        <f t="shared" si="10"/>
        <v>193</v>
      </c>
      <c r="N98" s="9" t="s">
        <v>57</v>
      </c>
      <c r="O98" s="9" t="s">
        <v>16</v>
      </c>
      <c r="P98" s="9">
        <v>1853</v>
      </c>
      <c r="Q98" s="9">
        <v>132</v>
      </c>
      <c r="R98" s="8" t="s">
        <v>17</v>
      </c>
      <c r="S98" s="11">
        <v>237</v>
      </c>
      <c r="T98" s="10">
        <v>0.27</v>
      </c>
      <c r="X98" s="20"/>
      <c r="Y98" s="20"/>
    </row>
    <row r="99" spans="1:25" x14ac:dyDescent="0.3">
      <c r="A99" s="7">
        <f t="shared" si="11"/>
        <v>94</v>
      </c>
      <c r="B99" s="8">
        <v>34</v>
      </c>
      <c r="C99" s="9" t="str">
        <f t="shared" si="9"/>
        <v>1940x85185fe3A4e36079818Ba1d12705A9B6898996990xa60AdD2af71a4f50b3F94509E71a1e9DbDeA5dDa1082296unidade2250027</v>
      </c>
      <c r="D99" s="13" t="s">
        <v>160</v>
      </c>
      <c r="E99" s="8" t="s">
        <v>1060</v>
      </c>
      <c r="F99" s="8">
        <f t="shared" si="12"/>
        <v>0</v>
      </c>
      <c r="G99" s="8">
        <f t="shared" si="12"/>
        <v>0</v>
      </c>
      <c r="H99" s="8">
        <f t="shared" si="12"/>
        <v>1</v>
      </c>
      <c r="I99" s="8">
        <f t="shared" si="12"/>
        <v>8</v>
      </c>
      <c r="J99" s="8">
        <f t="shared" si="8"/>
        <v>1</v>
      </c>
      <c r="K99" s="15">
        <v>1.1574069503694773E-5</v>
      </c>
      <c r="M99" s="8">
        <f t="shared" si="10"/>
        <v>194</v>
      </c>
      <c r="N99" s="9" t="s">
        <v>58</v>
      </c>
      <c r="O99" s="9" t="s">
        <v>16</v>
      </c>
      <c r="P99" s="9">
        <v>1082</v>
      </c>
      <c r="Q99" s="9">
        <v>296</v>
      </c>
      <c r="R99" s="8" t="s">
        <v>17</v>
      </c>
      <c r="S99" s="11">
        <v>225</v>
      </c>
      <c r="T99" s="10">
        <v>0.27</v>
      </c>
      <c r="X99" s="20"/>
      <c r="Y99" s="20"/>
    </row>
    <row r="100" spans="1:25" x14ac:dyDescent="0.3">
      <c r="A100" s="7">
        <f t="shared" si="11"/>
        <v>95</v>
      </c>
      <c r="B100" s="8">
        <v>599</v>
      </c>
      <c r="C100" s="9" t="str">
        <f t="shared" si="9"/>
        <v>1950x85185fe3A4e36079818Ba1d12705A9B6898997000xa60AdD2af71a4f50b3F94509E71a1e9DbDeA5dDa1855427unidade660027</v>
      </c>
      <c r="D100" s="13" t="s">
        <v>161</v>
      </c>
      <c r="E100" s="8" t="s">
        <v>1061</v>
      </c>
      <c r="F100" s="8">
        <f t="shared" si="12"/>
        <v>0</v>
      </c>
      <c r="G100" s="8">
        <f t="shared" si="12"/>
        <v>0</v>
      </c>
      <c r="H100" s="8">
        <f t="shared" si="12"/>
        <v>4</v>
      </c>
      <c r="I100" s="8">
        <f t="shared" si="12"/>
        <v>1</v>
      </c>
      <c r="J100" s="8">
        <f t="shared" si="8"/>
        <v>4</v>
      </c>
      <c r="K100" s="15">
        <v>1.273148154723458E-4</v>
      </c>
      <c r="M100" s="8">
        <f t="shared" si="10"/>
        <v>195</v>
      </c>
      <c r="N100" s="9" t="s">
        <v>59</v>
      </c>
      <c r="O100" s="9" t="s">
        <v>16</v>
      </c>
      <c r="P100" s="9">
        <v>1855</v>
      </c>
      <c r="Q100" s="9">
        <v>427</v>
      </c>
      <c r="R100" s="8" t="s">
        <v>17</v>
      </c>
      <c r="S100" s="11">
        <v>66</v>
      </c>
      <c r="T100" s="10">
        <v>0.27</v>
      </c>
      <c r="X100" s="20"/>
      <c r="Y100" s="20"/>
    </row>
    <row r="101" spans="1:25" x14ac:dyDescent="0.3">
      <c r="A101" s="7">
        <f t="shared" si="11"/>
        <v>96</v>
      </c>
      <c r="B101" s="8">
        <v>15</v>
      </c>
      <c r="C101" s="9" t="str">
        <f t="shared" si="9"/>
        <v>1960x85185fe3A4e36079818Ba1d12705A9B6898997010xa60AdD2af71a4f50b3F94509E71a1e9DbDeA5dDa1744130unidade830027</v>
      </c>
      <c r="D101" s="13" t="s">
        <v>162</v>
      </c>
      <c r="E101" s="8" t="s">
        <v>1062</v>
      </c>
      <c r="F101" s="8">
        <f t="shared" si="12"/>
        <v>0</v>
      </c>
      <c r="G101" s="8">
        <f t="shared" si="12"/>
        <v>0</v>
      </c>
      <c r="H101" s="8">
        <f t="shared" si="12"/>
        <v>1</v>
      </c>
      <c r="I101" s="8">
        <f t="shared" si="12"/>
        <v>1</v>
      </c>
      <c r="J101" s="8">
        <f t="shared" si="8"/>
        <v>1</v>
      </c>
      <c r="K101" s="15">
        <v>1.1574076779652387E-5</v>
      </c>
      <c r="M101" s="8">
        <f t="shared" si="10"/>
        <v>196</v>
      </c>
      <c r="N101" s="9" t="s">
        <v>60</v>
      </c>
      <c r="O101" s="9" t="s">
        <v>16</v>
      </c>
      <c r="P101" s="9">
        <v>1744</v>
      </c>
      <c r="Q101" s="9">
        <v>130</v>
      </c>
      <c r="R101" s="8" t="s">
        <v>17</v>
      </c>
      <c r="S101" s="11">
        <v>83</v>
      </c>
      <c r="T101" s="10">
        <v>0.27</v>
      </c>
      <c r="X101" s="20"/>
      <c r="Y101" s="20"/>
    </row>
    <row r="102" spans="1:25" x14ac:dyDescent="0.3">
      <c r="A102" s="7">
        <f t="shared" si="11"/>
        <v>97</v>
      </c>
      <c r="B102" s="8">
        <v>373</v>
      </c>
      <c r="C102" s="9" t="str">
        <f t="shared" si="9"/>
        <v>1970x85185fe3A4e36079818Ba1d12705A9B6898997020xa60AdD2af71a4f50b3F94509E71a1e9DbDeA5dDa1471322unidade1100027</v>
      </c>
      <c r="D102" s="13" t="s">
        <v>163</v>
      </c>
      <c r="E102" s="8" t="s">
        <v>1063</v>
      </c>
      <c r="F102" s="8">
        <f t="shared" si="12"/>
        <v>0</v>
      </c>
      <c r="G102" s="8">
        <f t="shared" si="12"/>
        <v>0</v>
      </c>
      <c r="H102" s="8">
        <f t="shared" si="12"/>
        <v>6</v>
      </c>
      <c r="I102" s="8">
        <f t="shared" si="12"/>
        <v>1</v>
      </c>
      <c r="J102" s="8">
        <f t="shared" si="8"/>
        <v>6</v>
      </c>
      <c r="K102" s="15">
        <v>8.1018515629693866E-5</v>
      </c>
      <c r="M102" s="8">
        <f t="shared" si="10"/>
        <v>197</v>
      </c>
      <c r="N102" s="9" t="s">
        <v>61</v>
      </c>
      <c r="O102" s="9" t="s">
        <v>16</v>
      </c>
      <c r="P102" s="9">
        <v>1471</v>
      </c>
      <c r="Q102" s="9">
        <v>322</v>
      </c>
      <c r="R102" s="8" t="s">
        <v>17</v>
      </c>
      <c r="S102" s="11">
        <v>110</v>
      </c>
      <c r="T102" s="10">
        <v>0.27</v>
      </c>
      <c r="X102" s="20"/>
      <c r="Y102" s="20"/>
    </row>
    <row r="103" spans="1:25" x14ac:dyDescent="0.3">
      <c r="A103" s="7">
        <f t="shared" si="11"/>
        <v>98</v>
      </c>
      <c r="B103" s="8">
        <v>73</v>
      </c>
      <c r="C103" s="9" t="str">
        <f t="shared" si="9"/>
        <v>1980x85185fe3A4e36079818Ba1d12705A9B6898997030xa60AdD2af71a4f50b3F94509E71a1e9DbDeA5dDa1143308unidade870027</v>
      </c>
      <c r="D103" s="13" t="s">
        <v>164</v>
      </c>
      <c r="E103" s="8" t="s">
        <v>1064</v>
      </c>
      <c r="F103" s="8">
        <f t="shared" si="12"/>
        <v>0</v>
      </c>
      <c r="G103" s="8">
        <f t="shared" si="12"/>
        <v>0</v>
      </c>
      <c r="H103" s="8">
        <f t="shared" si="12"/>
        <v>8</v>
      </c>
      <c r="I103" s="8">
        <f t="shared" si="12"/>
        <v>1</v>
      </c>
      <c r="J103" s="8">
        <f t="shared" si="8"/>
        <v>8</v>
      </c>
      <c r="K103" s="15">
        <v>1.1574076779652387E-5</v>
      </c>
      <c r="M103" s="8">
        <f t="shared" si="10"/>
        <v>198</v>
      </c>
      <c r="N103" s="9" t="s">
        <v>62</v>
      </c>
      <c r="O103" s="9" t="s">
        <v>16</v>
      </c>
      <c r="P103" s="9">
        <v>1143</v>
      </c>
      <c r="Q103" s="9">
        <v>308</v>
      </c>
      <c r="R103" s="8" t="s">
        <v>17</v>
      </c>
      <c r="S103" s="11">
        <v>87</v>
      </c>
      <c r="T103" s="10">
        <v>0.27</v>
      </c>
      <c r="X103" s="20"/>
    </row>
    <row r="104" spans="1:25" x14ac:dyDescent="0.3">
      <c r="A104" s="7">
        <f t="shared" si="11"/>
        <v>99</v>
      </c>
      <c r="B104" s="8">
        <v>644</v>
      </c>
      <c r="C104" s="9" t="str">
        <f t="shared" si="9"/>
        <v>1990x85185fe3A4e36079818Ba1d12705A9B6898997040xa60AdD2af71a4f50b3F94509E71a1e9DbDeA5dDa1674244unidade1300027</v>
      </c>
      <c r="D104" s="13" t="s">
        <v>165</v>
      </c>
      <c r="E104" s="8" t="s">
        <v>1065</v>
      </c>
      <c r="F104" s="8">
        <f t="shared" si="12"/>
        <v>0</v>
      </c>
      <c r="G104" s="8">
        <f t="shared" si="12"/>
        <v>0</v>
      </c>
      <c r="H104" s="8">
        <f t="shared" si="12"/>
        <v>1</v>
      </c>
      <c r="I104" s="8">
        <f t="shared" si="12"/>
        <v>1</v>
      </c>
      <c r="J104" s="8">
        <f t="shared" si="8"/>
        <v>1</v>
      </c>
      <c r="K104" s="15">
        <v>1.3888888497604057E-4</v>
      </c>
      <c r="M104" s="8">
        <f t="shared" si="10"/>
        <v>199</v>
      </c>
      <c r="N104" s="9" t="s">
        <v>63</v>
      </c>
      <c r="O104" s="9" t="s">
        <v>16</v>
      </c>
      <c r="P104" s="9">
        <v>1674</v>
      </c>
      <c r="Q104" s="9">
        <v>244</v>
      </c>
      <c r="R104" s="8" t="s">
        <v>17</v>
      </c>
      <c r="S104" s="11">
        <v>130</v>
      </c>
      <c r="T104" s="10">
        <v>0.27</v>
      </c>
      <c r="X104" s="20"/>
    </row>
    <row r="105" spans="1:25" x14ac:dyDescent="0.3">
      <c r="A105" s="7">
        <f t="shared" si="11"/>
        <v>100</v>
      </c>
      <c r="B105" s="8">
        <v>275</v>
      </c>
      <c r="C105" s="9" t="str">
        <f t="shared" si="9"/>
        <v>2000x85185fe3A4e36079818Ba1d12705A9B6898997040xa60AdD2af71a4f50b3F94509E71a1e9DbDeA5dDa1211102unidade1830027</v>
      </c>
      <c r="D105" s="13" t="s">
        <v>166</v>
      </c>
      <c r="E105" s="8" t="s">
        <v>1066</v>
      </c>
      <c r="F105" s="8">
        <f t="shared" si="12"/>
        <v>0</v>
      </c>
      <c r="G105" s="8">
        <f t="shared" si="12"/>
        <v>0</v>
      </c>
      <c r="H105" s="8">
        <f t="shared" si="12"/>
        <v>2</v>
      </c>
      <c r="I105" s="8">
        <f t="shared" si="12"/>
        <v>5</v>
      </c>
      <c r="J105" s="8">
        <f t="shared" si="8"/>
        <v>2</v>
      </c>
      <c r="K105" s="15">
        <v>5.787037662230432E-5</v>
      </c>
      <c r="M105" s="8">
        <f t="shared" si="10"/>
        <v>200</v>
      </c>
      <c r="N105" s="9" t="s">
        <v>63</v>
      </c>
      <c r="O105" s="9" t="s">
        <v>16</v>
      </c>
      <c r="P105" s="9">
        <v>1211</v>
      </c>
      <c r="Q105" s="9">
        <v>102</v>
      </c>
      <c r="R105" s="8" t="s">
        <v>17</v>
      </c>
      <c r="S105" s="11">
        <v>183</v>
      </c>
      <c r="T105" s="10">
        <v>0.27</v>
      </c>
      <c r="X105" s="20"/>
    </row>
    <row r="106" spans="1:25" x14ac:dyDescent="0.3">
      <c r="A106" s="7">
        <f t="shared" si="11"/>
        <v>101</v>
      </c>
      <c r="B106" s="8">
        <v>384</v>
      </c>
      <c r="C106" s="9" t="str">
        <f t="shared" si="9"/>
        <v>2010x85185fe3A4e36079818Ba1d12705A9B6898997040xa60AdD2af71a4f50b3F94509E71a1e9DbDeA5dDa1441281unidade1350027</v>
      </c>
      <c r="D106" s="13" t="s">
        <v>168</v>
      </c>
      <c r="E106" s="8" t="s">
        <v>1067</v>
      </c>
      <c r="F106" s="8">
        <f t="shared" si="12"/>
        <v>0</v>
      </c>
      <c r="G106" s="8">
        <f t="shared" si="12"/>
        <v>0</v>
      </c>
      <c r="H106" s="8">
        <f t="shared" si="12"/>
        <v>1</v>
      </c>
      <c r="I106" s="8">
        <f t="shared" si="12"/>
        <v>1</v>
      </c>
      <c r="J106" s="8">
        <f t="shared" ref="J106:J169" si="13">SUM(F106:H106)</f>
        <v>1</v>
      </c>
      <c r="K106" s="15">
        <v>8.1018515629693866E-5</v>
      </c>
      <c r="M106" s="8">
        <f t="shared" si="10"/>
        <v>201</v>
      </c>
      <c r="N106" s="9" t="s">
        <v>63</v>
      </c>
      <c r="O106" s="9" t="s">
        <v>16</v>
      </c>
      <c r="P106" s="9">
        <v>1441</v>
      </c>
      <c r="Q106" s="9">
        <v>281</v>
      </c>
      <c r="R106" s="8" t="s">
        <v>17</v>
      </c>
      <c r="S106" s="11">
        <v>135</v>
      </c>
      <c r="T106" s="10">
        <v>0.27</v>
      </c>
      <c r="X106" s="20"/>
    </row>
    <row r="107" spans="1:25" x14ac:dyDescent="0.3">
      <c r="A107" s="7">
        <f t="shared" si="11"/>
        <v>102</v>
      </c>
      <c r="B107" s="8">
        <v>378</v>
      </c>
      <c r="C107" s="9" t="str">
        <f t="shared" si="9"/>
        <v>2020x85185fe3A4e36079818Ba1d12705A9B6898997040xa60AdD2af71a4f50b3F94509E71a1e9DbDeA5dDa1110243unidade1460027</v>
      </c>
      <c r="D107" s="13" t="s">
        <v>169</v>
      </c>
      <c r="E107" s="8" t="s">
        <v>569</v>
      </c>
      <c r="F107" s="8">
        <f t="shared" ref="F107:I170" si="14">IFERROR(VALUE(MID($E107,F$1,1)),1)</f>
        <v>0</v>
      </c>
      <c r="G107" s="8">
        <f t="shared" si="14"/>
        <v>0</v>
      </c>
      <c r="H107" s="8">
        <f t="shared" si="14"/>
        <v>0</v>
      </c>
      <c r="I107" s="8">
        <f t="shared" si="14"/>
        <v>1</v>
      </c>
      <c r="J107" s="8">
        <f t="shared" si="13"/>
        <v>0</v>
      </c>
      <c r="K107" s="15">
        <v>9.2592592409346253E-5</v>
      </c>
      <c r="M107" s="8">
        <f t="shared" si="10"/>
        <v>202</v>
      </c>
      <c r="N107" s="9" t="s">
        <v>63</v>
      </c>
      <c r="O107" s="9" t="s">
        <v>16</v>
      </c>
      <c r="P107" s="9">
        <v>1110</v>
      </c>
      <c r="Q107" s="9">
        <v>243</v>
      </c>
      <c r="R107" s="8" t="s">
        <v>17</v>
      </c>
      <c r="S107" s="11">
        <v>146</v>
      </c>
      <c r="T107" s="10">
        <v>0.27</v>
      </c>
      <c r="X107" s="20"/>
    </row>
    <row r="108" spans="1:25" x14ac:dyDescent="0.3">
      <c r="A108" s="7">
        <f t="shared" si="11"/>
        <v>103</v>
      </c>
      <c r="B108" s="8">
        <v>1326</v>
      </c>
      <c r="C108" s="9" t="str">
        <f t="shared" si="9"/>
        <v>2030x85185fe3A4e36079818Ba1d12705A9B6898997040xa60AdD2af71a4f50b3F94509E71a1e9DbDeA5dDa1819425unidade1700027</v>
      </c>
      <c r="D108" s="13" t="s">
        <v>170</v>
      </c>
      <c r="E108" s="8" t="s">
        <v>1068</v>
      </c>
      <c r="F108" s="8">
        <f t="shared" si="14"/>
        <v>0</v>
      </c>
      <c r="G108" s="8">
        <f t="shared" si="14"/>
        <v>0</v>
      </c>
      <c r="H108" s="8">
        <f t="shared" si="14"/>
        <v>2</v>
      </c>
      <c r="I108" s="8">
        <f t="shared" si="14"/>
        <v>1</v>
      </c>
      <c r="J108" s="8">
        <f t="shared" si="13"/>
        <v>2</v>
      </c>
      <c r="K108" s="15">
        <v>3.3564814657438546E-4</v>
      </c>
      <c r="M108" s="8">
        <f t="shared" si="10"/>
        <v>203</v>
      </c>
      <c r="N108" s="9" t="s">
        <v>63</v>
      </c>
      <c r="O108" s="9" t="s">
        <v>16</v>
      </c>
      <c r="P108" s="9">
        <v>1819</v>
      </c>
      <c r="Q108" s="9">
        <v>425</v>
      </c>
      <c r="R108" s="8" t="s">
        <v>17</v>
      </c>
      <c r="S108" s="11">
        <v>170</v>
      </c>
      <c r="T108" s="10">
        <v>0.27</v>
      </c>
      <c r="X108" s="20"/>
    </row>
    <row r="109" spans="1:25" x14ac:dyDescent="0.3">
      <c r="A109" s="7">
        <f t="shared" si="11"/>
        <v>104</v>
      </c>
      <c r="B109" s="8">
        <v>152</v>
      </c>
      <c r="C109" s="9" t="str">
        <f t="shared" si="9"/>
        <v>2040x85185fe3A4e36079818Ba1d12705A9B6898997040xa60AdD2af71a4f50b3F94509E71a1e9DbDeA5dDa1512117unidade530027</v>
      </c>
      <c r="D109" s="13" t="s">
        <v>171</v>
      </c>
      <c r="E109" s="8" t="s">
        <v>1069</v>
      </c>
      <c r="F109" s="8">
        <f t="shared" si="14"/>
        <v>0</v>
      </c>
      <c r="G109" s="8">
        <f t="shared" si="14"/>
        <v>0</v>
      </c>
      <c r="H109" s="8">
        <f t="shared" si="14"/>
        <v>9</v>
      </c>
      <c r="I109" s="8">
        <f t="shared" si="14"/>
        <v>1</v>
      </c>
      <c r="J109" s="8">
        <f t="shared" si="13"/>
        <v>9</v>
      </c>
      <c r="K109" s="15">
        <v>3.4722223062999547E-5</v>
      </c>
      <c r="M109" s="8">
        <f t="shared" si="10"/>
        <v>204</v>
      </c>
      <c r="N109" s="9" t="s">
        <v>63</v>
      </c>
      <c r="O109" s="9" t="s">
        <v>16</v>
      </c>
      <c r="P109" s="9">
        <v>1512</v>
      </c>
      <c r="Q109" s="9">
        <v>117</v>
      </c>
      <c r="R109" s="8" t="s">
        <v>17</v>
      </c>
      <c r="S109" s="11">
        <v>53</v>
      </c>
      <c r="T109" s="10">
        <v>0.27</v>
      </c>
      <c r="X109" s="20"/>
    </row>
    <row r="110" spans="1:25" x14ac:dyDescent="0.3">
      <c r="A110" s="7">
        <f t="shared" si="11"/>
        <v>105</v>
      </c>
      <c r="B110" s="8">
        <v>20</v>
      </c>
      <c r="C110" s="9" t="str">
        <f t="shared" si="9"/>
        <v>2050x85185fe3A4e36079818Ba1d12705A9B6898997040xa60AdD2af71a4f50b3F94509E71a1e9DbDeA5dDa1616304unidade900027</v>
      </c>
      <c r="D110" s="13" t="s">
        <v>172</v>
      </c>
      <c r="E110" s="8" t="s">
        <v>1070</v>
      </c>
      <c r="F110" s="8">
        <f t="shared" si="14"/>
        <v>0</v>
      </c>
      <c r="G110" s="8">
        <f t="shared" si="14"/>
        <v>0</v>
      </c>
      <c r="H110" s="8">
        <f t="shared" si="14"/>
        <v>2</v>
      </c>
      <c r="I110" s="8">
        <f t="shared" si="14"/>
        <v>0</v>
      </c>
      <c r="J110" s="8">
        <f t="shared" si="13"/>
        <v>2</v>
      </c>
      <c r="K110" s="15">
        <v>0</v>
      </c>
      <c r="M110" s="8">
        <f t="shared" si="10"/>
        <v>205</v>
      </c>
      <c r="N110" s="9" t="s">
        <v>63</v>
      </c>
      <c r="O110" s="9" t="s">
        <v>16</v>
      </c>
      <c r="P110" s="9">
        <v>1616</v>
      </c>
      <c r="Q110" s="9">
        <v>304</v>
      </c>
      <c r="R110" s="8" t="s">
        <v>17</v>
      </c>
      <c r="S110" s="11">
        <v>90</v>
      </c>
      <c r="T110" s="10">
        <v>0.27</v>
      </c>
    </row>
    <row r="111" spans="1:25" x14ac:dyDescent="0.3">
      <c r="A111" s="7">
        <f t="shared" si="11"/>
        <v>106</v>
      </c>
      <c r="B111" s="8">
        <v>223</v>
      </c>
      <c r="C111" s="9" t="str">
        <f t="shared" si="9"/>
        <v>2060x85185fe3A4e36079818Ba1d12705A9B6898997040xa60AdD2af71a4f50b3F94509E71a1e9DbDeA5dDa1414367unidade870027</v>
      </c>
      <c r="D111" s="13" t="s">
        <v>173</v>
      </c>
      <c r="E111" s="8" t="s">
        <v>1071</v>
      </c>
      <c r="F111" s="8">
        <f t="shared" si="14"/>
        <v>0</v>
      </c>
      <c r="G111" s="8">
        <f t="shared" si="14"/>
        <v>0</v>
      </c>
      <c r="H111" s="8">
        <f t="shared" si="14"/>
        <v>7</v>
      </c>
      <c r="I111" s="8">
        <f t="shared" si="14"/>
        <v>1</v>
      </c>
      <c r="J111" s="8">
        <f t="shared" si="13"/>
        <v>7</v>
      </c>
      <c r="K111" s="15">
        <v>5.7870369346346706E-5</v>
      </c>
      <c r="M111" s="8">
        <f t="shared" si="10"/>
        <v>206</v>
      </c>
      <c r="N111" s="9" t="s">
        <v>63</v>
      </c>
      <c r="O111" s="9" t="s">
        <v>16</v>
      </c>
      <c r="P111" s="9">
        <v>1414</v>
      </c>
      <c r="Q111" s="9">
        <v>367</v>
      </c>
      <c r="R111" s="8" t="s">
        <v>17</v>
      </c>
      <c r="S111" s="11">
        <v>87</v>
      </c>
      <c r="T111" s="10">
        <v>0.27</v>
      </c>
    </row>
    <row r="112" spans="1:25" x14ac:dyDescent="0.3">
      <c r="A112" s="7">
        <f t="shared" si="11"/>
        <v>107</v>
      </c>
      <c r="B112" s="8">
        <v>142</v>
      </c>
      <c r="C112" s="9" t="str">
        <f t="shared" si="9"/>
        <v>2070x85185fe3A4e36079818Ba1d12705A9B6898997040xa60AdD2af71a4f50b3F94509E71a1e9DbDeA5dDa1636377unidade2010027</v>
      </c>
      <c r="D112" s="13" t="s">
        <v>174</v>
      </c>
      <c r="E112" s="8" t="s">
        <v>1072</v>
      </c>
      <c r="F112" s="8">
        <f t="shared" si="14"/>
        <v>0</v>
      </c>
      <c r="G112" s="8">
        <f t="shared" si="14"/>
        <v>0</v>
      </c>
      <c r="H112" s="8">
        <f t="shared" si="14"/>
        <v>3</v>
      </c>
      <c r="I112" s="8">
        <f t="shared" si="14"/>
        <v>1</v>
      </c>
      <c r="J112" s="8">
        <f t="shared" si="13"/>
        <v>3</v>
      </c>
      <c r="K112" s="15">
        <v>3.4722223062999547E-5</v>
      </c>
      <c r="M112" s="8">
        <f t="shared" si="10"/>
        <v>207</v>
      </c>
      <c r="N112" s="9" t="s">
        <v>63</v>
      </c>
      <c r="O112" s="9" t="s">
        <v>16</v>
      </c>
      <c r="P112" s="9">
        <v>1636</v>
      </c>
      <c r="Q112" s="9">
        <v>377</v>
      </c>
      <c r="R112" s="8" t="s">
        <v>17</v>
      </c>
      <c r="S112" s="11">
        <v>201</v>
      </c>
      <c r="T112" s="10">
        <v>0.27</v>
      </c>
    </row>
    <row r="113" spans="1:20" x14ac:dyDescent="0.3">
      <c r="A113" s="7">
        <f t="shared" si="11"/>
        <v>108</v>
      </c>
      <c r="B113" s="8">
        <v>168</v>
      </c>
      <c r="C113" s="9" t="str">
        <f t="shared" si="9"/>
        <v>2080x85185fe3A4e36079818Ba1d12705A9B6898997040xa60AdD2af71a4f50b3F94509E71a1e9DbDeA5dDa1203342unidade1880027</v>
      </c>
      <c r="D113" s="13" t="s">
        <v>175</v>
      </c>
      <c r="E113" s="8" t="s">
        <v>1073</v>
      </c>
      <c r="F113" s="8">
        <f t="shared" si="14"/>
        <v>0</v>
      </c>
      <c r="G113" s="8">
        <f t="shared" si="14"/>
        <v>0</v>
      </c>
      <c r="H113" s="8">
        <f t="shared" si="14"/>
        <v>1</v>
      </c>
      <c r="I113" s="8">
        <f t="shared" si="14"/>
        <v>1</v>
      </c>
      <c r="J113" s="8">
        <f t="shared" si="13"/>
        <v>1</v>
      </c>
      <c r="K113" s="15">
        <v>4.6296299842651933E-5</v>
      </c>
      <c r="M113" s="8">
        <f t="shared" si="10"/>
        <v>208</v>
      </c>
      <c r="N113" s="9" t="s">
        <v>63</v>
      </c>
      <c r="O113" s="9" t="s">
        <v>16</v>
      </c>
      <c r="P113" s="9">
        <v>1203</v>
      </c>
      <c r="Q113" s="9">
        <v>342</v>
      </c>
      <c r="R113" s="8" t="s">
        <v>17</v>
      </c>
      <c r="S113" s="11">
        <v>188</v>
      </c>
      <c r="T113" s="10">
        <v>0.27</v>
      </c>
    </row>
    <row r="114" spans="1:20" x14ac:dyDescent="0.3">
      <c r="A114" s="7">
        <f t="shared" si="11"/>
        <v>109</v>
      </c>
      <c r="B114" s="8">
        <v>350</v>
      </c>
      <c r="C114" s="9" t="str">
        <f t="shared" si="9"/>
        <v>2090x85185fe3A4e36079818Ba1d12705A9B6898997040xa60AdD2af71a4f50b3F94509E71a1e9DbDeA5dDa1302388unidade1970027</v>
      </c>
      <c r="D114" s="13" t="s">
        <v>176</v>
      </c>
      <c r="E114" s="8" t="s">
        <v>1074</v>
      </c>
      <c r="F114" s="8">
        <f t="shared" si="14"/>
        <v>0</v>
      </c>
      <c r="G114" s="8">
        <f t="shared" si="14"/>
        <v>0</v>
      </c>
      <c r="H114" s="8">
        <f t="shared" si="14"/>
        <v>7</v>
      </c>
      <c r="I114" s="8">
        <f t="shared" si="14"/>
        <v>4</v>
      </c>
      <c r="J114" s="8">
        <f t="shared" si="13"/>
        <v>7</v>
      </c>
      <c r="K114" s="15">
        <v>1.0416666918899864E-4</v>
      </c>
      <c r="M114" s="8">
        <f t="shared" si="10"/>
        <v>209</v>
      </c>
      <c r="N114" s="9" t="s">
        <v>63</v>
      </c>
      <c r="O114" s="9" t="s">
        <v>16</v>
      </c>
      <c r="P114" s="9">
        <v>1302</v>
      </c>
      <c r="Q114" s="9">
        <v>388</v>
      </c>
      <c r="R114" s="8" t="s">
        <v>17</v>
      </c>
      <c r="S114" s="11">
        <v>197</v>
      </c>
      <c r="T114" s="10">
        <v>0.27</v>
      </c>
    </row>
    <row r="115" spans="1:20" x14ac:dyDescent="0.3">
      <c r="A115" s="7">
        <f t="shared" si="11"/>
        <v>110</v>
      </c>
      <c r="B115" s="8">
        <v>269</v>
      </c>
      <c r="C115" s="9" t="str">
        <f t="shared" si="9"/>
        <v>2100x85185fe3A4e36079818Ba1d12705A9B6898997040xa60AdD2af71a4f50b3F94509E71a1e9DbDeA5dDa1527233unidade2080027</v>
      </c>
      <c r="D115" s="13" t="s">
        <v>177</v>
      </c>
      <c r="E115" s="8" t="s">
        <v>1075</v>
      </c>
      <c r="F115" s="8">
        <f t="shared" si="14"/>
        <v>0</v>
      </c>
      <c r="G115" s="8">
        <f t="shared" si="14"/>
        <v>0</v>
      </c>
      <c r="H115" s="8">
        <f t="shared" si="14"/>
        <v>2</v>
      </c>
      <c r="I115" s="8">
        <f t="shared" si="14"/>
        <v>8</v>
      </c>
      <c r="J115" s="8">
        <f t="shared" si="13"/>
        <v>2</v>
      </c>
      <c r="K115" s="15">
        <v>6.9444438850041479E-5</v>
      </c>
      <c r="M115" s="8">
        <f t="shared" si="10"/>
        <v>210</v>
      </c>
      <c r="N115" s="9" t="s">
        <v>63</v>
      </c>
      <c r="O115" s="9" t="s">
        <v>16</v>
      </c>
      <c r="P115" s="9">
        <v>1527</v>
      </c>
      <c r="Q115" s="9">
        <v>233</v>
      </c>
      <c r="R115" s="8" t="s">
        <v>17</v>
      </c>
      <c r="S115" s="11">
        <v>208</v>
      </c>
      <c r="T115" s="10">
        <v>0.27</v>
      </c>
    </row>
    <row r="116" spans="1:20" x14ac:dyDescent="0.3">
      <c r="A116" s="7">
        <f t="shared" si="11"/>
        <v>111</v>
      </c>
      <c r="B116" s="8">
        <v>75</v>
      </c>
      <c r="C116" s="9" t="str">
        <f t="shared" si="9"/>
        <v>2110x85185fe3A4e36079818Ba1d12705A9B6898997040xa60AdD2af71a4f50b3F94509E71a1e9DbDeA5dDa1391423unidade2500027</v>
      </c>
      <c r="D116" s="13" t="s">
        <v>178</v>
      </c>
      <c r="E116" s="8" t="s">
        <v>1076</v>
      </c>
      <c r="F116" s="8">
        <f t="shared" si="14"/>
        <v>0</v>
      </c>
      <c r="G116" s="8">
        <f t="shared" si="14"/>
        <v>0</v>
      </c>
      <c r="H116" s="8">
        <f t="shared" si="14"/>
        <v>1</v>
      </c>
      <c r="I116" s="8">
        <f t="shared" si="14"/>
        <v>1</v>
      </c>
      <c r="J116" s="8">
        <f t="shared" si="13"/>
        <v>1</v>
      </c>
      <c r="K116" s="15">
        <v>2.3148153559304774E-5</v>
      </c>
      <c r="M116" s="8">
        <f t="shared" si="10"/>
        <v>211</v>
      </c>
      <c r="N116" s="9" t="s">
        <v>63</v>
      </c>
      <c r="O116" s="9" t="s">
        <v>16</v>
      </c>
      <c r="P116" s="9">
        <v>1391</v>
      </c>
      <c r="Q116" s="9">
        <v>423</v>
      </c>
      <c r="R116" s="8" t="s">
        <v>17</v>
      </c>
      <c r="S116" s="11">
        <v>250</v>
      </c>
      <c r="T116" s="10">
        <v>0.27</v>
      </c>
    </row>
    <row r="117" spans="1:20" x14ac:dyDescent="0.3">
      <c r="A117" s="7">
        <f t="shared" si="11"/>
        <v>112</v>
      </c>
      <c r="B117" s="8">
        <v>91</v>
      </c>
      <c r="C117" s="9" t="str">
        <f t="shared" si="9"/>
        <v>2120x85185fe3A4e36079818Ba1d12705A9B6898997040xa60AdD2af71a4f50b3F94509E71a1e9DbDeA5dDa1721360unidade1320027</v>
      </c>
      <c r="D117" s="13" t="s">
        <v>179</v>
      </c>
      <c r="E117" s="8" t="s">
        <v>1077</v>
      </c>
      <c r="F117" s="8">
        <f t="shared" si="14"/>
        <v>0</v>
      </c>
      <c r="G117" s="8">
        <f t="shared" si="14"/>
        <v>0</v>
      </c>
      <c r="H117" s="8">
        <f t="shared" si="14"/>
        <v>1</v>
      </c>
      <c r="I117" s="8">
        <f t="shared" si="14"/>
        <v>3</v>
      </c>
      <c r="J117" s="8">
        <f t="shared" si="13"/>
        <v>1</v>
      </c>
      <c r="K117" s="15">
        <v>2.314814628334716E-5</v>
      </c>
      <c r="M117" s="8">
        <f t="shared" si="10"/>
        <v>212</v>
      </c>
      <c r="N117" s="9" t="s">
        <v>63</v>
      </c>
      <c r="O117" s="9" t="s">
        <v>16</v>
      </c>
      <c r="P117" s="9">
        <v>1721</v>
      </c>
      <c r="Q117" s="9">
        <v>360</v>
      </c>
      <c r="R117" s="8" t="s">
        <v>17</v>
      </c>
      <c r="S117" s="11">
        <v>132</v>
      </c>
      <c r="T117" s="10">
        <v>0.27</v>
      </c>
    </row>
    <row r="118" spans="1:20" x14ac:dyDescent="0.3">
      <c r="A118" s="7">
        <f t="shared" si="11"/>
        <v>113</v>
      </c>
      <c r="B118" s="8">
        <v>361</v>
      </c>
      <c r="C118" s="9" t="str">
        <f t="shared" si="9"/>
        <v>2130x85185fe3A4e36079818Ba1d12705A9B6898997040xa60AdD2af71a4f50b3F94509E71a1e9DbDeA5dDa1305140unidade670027</v>
      </c>
      <c r="D118" s="13" t="s">
        <v>180</v>
      </c>
      <c r="E118" s="8" t="s">
        <v>1078</v>
      </c>
      <c r="F118" s="8">
        <f t="shared" si="14"/>
        <v>0</v>
      </c>
      <c r="G118" s="8">
        <f t="shared" si="14"/>
        <v>0</v>
      </c>
      <c r="H118" s="8">
        <f t="shared" si="14"/>
        <v>1</v>
      </c>
      <c r="I118" s="8">
        <f t="shared" si="14"/>
        <v>8</v>
      </c>
      <c r="J118" s="8">
        <f t="shared" si="13"/>
        <v>1</v>
      </c>
      <c r="K118" s="15">
        <v>9.2592592409346253E-5</v>
      </c>
      <c r="M118" s="8">
        <f t="shared" si="10"/>
        <v>213</v>
      </c>
      <c r="N118" s="9" t="s">
        <v>63</v>
      </c>
      <c r="O118" s="9" t="s">
        <v>16</v>
      </c>
      <c r="P118" s="9">
        <v>1305</v>
      </c>
      <c r="Q118" s="9">
        <v>140</v>
      </c>
      <c r="R118" s="8" t="s">
        <v>17</v>
      </c>
      <c r="S118" s="11">
        <v>67</v>
      </c>
      <c r="T118" s="10">
        <v>0.27</v>
      </c>
    </row>
    <row r="119" spans="1:20" x14ac:dyDescent="0.3">
      <c r="A119" s="7">
        <f t="shared" si="11"/>
        <v>114</v>
      </c>
      <c r="B119" s="8">
        <v>83</v>
      </c>
      <c r="C119" s="9" t="str">
        <f t="shared" si="9"/>
        <v>2140x85185fe3A4e36079818Ba1d12705A9B6898997040xa60AdD2af71a4f50b3F94509E71a1e9DbDeA5dDa1633157unidade980027</v>
      </c>
      <c r="D119" s="13" t="s">
        <v>181</v>
      </c>
      <c r="E119" s="8" t="s">
        <v>1079</v>
      </c>
      <c r="F119" s="8">
        <f t="shared" si="14"/>
        <v>0</v>
      </c>
      <c r="G119" s="8">
        <f t="shared" si="14"/>
        <v>0</v>
      </c>
      <c r="H119" s="8">
        <f t="shared" si="14"/>
        <v>1</v>
      </c>
      <c r="I119" s="8">
        <f t="shared" si="14"/>
        <v>4</v>
      </c>
      <c r="J119" s="8">
        <f t="shared" si="13"/>
        <v>1</v>
      </c>
      <c r="K119" s="15">
        <v>2.314814628334716E-5</v>
      </c>
      <c r="M119" s="8">
        <f t="shared" si="10"/>
        <v>214</v>
      </c>
      <c r="N119" s="9" t="s">
        <v>63</v>
      </c>
      <c r="O119" s="9" t="s">
        <v>16</v>
      </c>
      <c r="P119" s="9">
        <v>1633</v>
      </c>
      <c r="Q119" s="9">
        <v>157</v>
      </c>
      <c r="R119" s="8" t="s">
        <v>17</v>
      </c>
      <c r="S119" s="11">
        <v>98</v>
      </c>
      <c r="T119" s="10">
        <v>0.27</v>
      </c>
    </row>
    <row r="120" spans="1:20" x14ac:dyDescent="0.3">
      <c r="A120" s="7">
        <f t="shared" si="11"/>
        <v>115</v>
      </c>
      <c r="B120" s="8">
        <v>580</v>
      </c>
      <c r="C120" s="9" t="str">
        <f t="shared" si="9"/>
        <v>2150x85185fe3A4e36079818Ba1d12705A9B6898997040xa60AdD2af71a4f50b3F94509E71a1e9DbDeA5dDa1313228unidade1310027</v>
      </c>
      <c r="D120" s="13" t="s">
        <v>182</v>
      </c>
      <c r="E120" s="8" t="s">
        <v>1080</v>
      </c>
      <c r="F120" s="8">
        <f t="shared" si="14"/>
        <v>0</v>
      </c>
      <c r="G120" s="8">
        <f t="shared" si="14"/>
        <v>0</v>
      </c>
      <c r="H120" s="8">
        <f t="shared" si="14"/>
        <v>1</v>
      </c>
      <c r="I120" s="8">
        <f t="shared" si="14"/>
        <v>5</v>
      </c>
      <c r="J120" s="8">
        <f t="shared" si="13"/>
        <v>1</v>
      </c>
      <c r="K120" s="15">
        <v>1.5046296175569296E-4</v>
      </c>
      <c r="M120" s="8">
        <f t="shared" si="10"/>
        <v>215</v>
      </c>
      <c r="N120" s="9" t="s">
        <v>63</v>
      </c>
      <c r="O120" s="9" t="s">
        <v>16</v>
      </c>
      <c r="P120" s="9">
        <v>1313</v>
      </c>
      <c r="Q120" s="9">
        <v>228</v>
      </c>
      <c r="R120" s="8" t="s">
        <v>17</v>
      </c>
      <c r="S120" s="11">
        <v>131</v>
      </c>
      <c r="T120" s="10">
        <v>0.27</v>
      </c>
    </row>
    <row r="121" spans="1:20" x14ac:dyDescent="0.3">
      <c r="A121" s="7">
        <f t="shared" si="11"/>
        <v>116</v>
      </c>
      <c r="B121" s="8">
        <v>98</v>
      </c>
      <c r="C121" s="9" t="str">
        <f t="shared" si="9"/>
        <v>2160x85185fe3A4e36079818Ba1d12705A9B6898997040xa60AdD2af71a4f50b3F94509E71a1e9DbDeA5dDa1245443unidade700027</v>
      </c>
      <c r="D121" s="13" t="s">
        <v>183</v>
      </c>
      <c r="E121" s="8" t="s">
        <v>1081</v>
      </c>
      <c r="F121" s="8">
        <f t="shared" si="14"/>
        <v>0</v>
      </c>
      <c r="G121" s="8">
        <f t="shared" si="14"/>
        <v>0</v>
      </c>
      <c r="H121" s="8">
        <f t="shared" si="14"/>
        <v>1</v>
      </c>
      <c r="I121" s="8">
        <f t="shared" si="14"/>
        <v>1</v>
      </c>
      <c r="J121" s="8">
        <f t="shared" si="13"/>
        <v>1</v>
      </c>
      <c r="K121" s="15">
        <v>3.4722223062999547E-5</v>
      </c>
      <c r="M121" s="8">
        <f t="shared" si="10"/>
        <v>216</v>
      </c>
      <c r="N121" s="9" t="s">
        <v>63</v>
      </c>
      <c r="O121" s="9" t="s">
        <v>16</v>
      </c>
      <c r="P121" s="9">
        <v>1245</v>
      </c>
      <c r="Q121" s="9">
        <v>443</v>
      </c>
      <c r="R121" s="8" t="s">
        <v>17</v>
      </c>
      <c r="S121" s="11">
        <v>70</v>
      </c>
      <c r="T121" s="10">
        <v>0.27</v>
      </c>
    </row>
    <row r="122" spans="1:20" x14ac:dyDescent="0.3">
      <c r="A122" s="7">
        <f t="shared" si="11"/>
        <v>117</v>
      </c>
      <c r="B122" s="8">
        <v>13</v>
      </c>
      <c r="C122" s="9" t="str">
        <f t="shared" si="9"/>
        <v>2170x85185fe3A4e36079818Ba1d12705A9B6898997040xa60AdD2af71a4f50b3F94509E71a1e9DbDeA5dDa1621137unidade510027</v>
      </c>
      <c r="D122" s="13" t="s">
        <v>184</v>
      </c>
      <c r="E122" s="8" t="s">
        <v>1082</v>
      </c>
      <c r="F122" s="8">
        <f t="shared" si="14"/>
        <v>0</v>
      </c>
      <c r="G122" s="8">
        <f t="shared" si="14"/>
        <v>0</v>
      </c>
      <c r="H122" s="8">
        <f t="shared" si="14"/>
        <v>1</v>
      </c>
      <c r="I122" s="8">
        <f t="shared" si="14"/>
        <v>1</v>
      </c>
      <c r="J122" s="8">
        <f t="shared" si="13"/>
        <v>1</v>
      </c>
      <c r="K122" s="15">
        <v>0</v>
      </c>
      <c r="M122" s="8">
        <f t="shared" si="10"/>
        <v>217</v>
      </c>
      <c r="N122" s="9" t="s">
        <v>63</v>
      </c>
      <c r="O122" s="9" t="s">
        <v>16</v>
      </c>
      <c r="P122" s="9">
        <v>1621</v>
      </c>
      <c r="Q122" s="9">
        <v>137</v>
      </c>
      <c r="R122" s="8" t="s">
        <v>17</v>
      </c>
      <c r="S122" s="11">
        <v>51</v>
      </c>
      <c r="T122" s="10">
        <v>0.27</v>
      </c>
    </row>
    <row r="123" spans="1:20" x14ac:dyDescent="0.3">
      <c r="A123" s="7">
        <f t="shared" si="11"/>
        <v>118</v>
      </c>
      <c r="B123" s="8">
        <v>554</v>
      </c>
      <c r="C123" s="9" t="str">
        <f t="shared" si="9"/>
        <v>2180x85185fe3A4e36079818Ba1d12705A9B6898997040xa60AdD2af71a4f50b3F94509E71a1e9DbDeA5dDa1368482unidade1650027</v>
      </c>
      <c r="D123" s="13" t="s">
        <v>185</v>
      </c>
      <c r="E123" s="8" t="s">
        <v>1083</v>
      </c>
      <c r="F123" s="8">
        <f t="shared" si="14"/>
        <v>0</v>
      </c>
      <c r="G123" s="8">
        <f t="shared" si="14"/>
        <v>0</v>
      </c>
      <c r="H123" s="8">
        <f t="shared" si="14"/>
        <v>3</v>
      </c>
      <c r="I123" s="8">
        <f t="shared" si="14"/>
        <v>5</v>
      </c>
      <c r="J123" s="8">
        <f t="shared" si="13"/>
        <v>3</v>
      </c>
      <c r="K123" s="15">
        <v>1.5046296175569296E-4</v>
      </c>
      <c r="M123" s="8">
        <f t="shared" si="10"/>
        <v>218</v>
      </c>
      <c r="N123" s="9" t="s">
        <v>63</v>
      </c>
      <c r="O123" s="9" t="s">
        <v>16</v>
      </c>
      <c r="P123" s="9">
        <v>1368</v>
      </c>
      <c r="Q123" s="9">
        <v>482</v>
      </c>
      <c r="R123" s="8" t="s">
        <v>17</v>
      </c>
      <c r="S123" s="11">
        <v>165</v>
      </c>
      <c r="T123" s="10">
        <v>0.27</v>
      </c>
    </row>
    <row r="124" spans="1:20" x14ac:dyDescent="0.3">
      <c r="A124" s="7">
        <f t="shared" si="11"/>
        <v>119</v>
      </c>
      <c r="B124" s="8">
        <v>106</v>
      </c>
      <c r="C124" s="9" t="str">
        <f t="shared" si="9"/>
        <v>2190x85185fe3A4e36079818Ba1d12705A9B6898997040xa60AdD2af71a4f50b3F94509E71a1e9DbDeA5dDa1506110unidade1820027</v>
      </c>
      <c r="D124" s="13" t="s">
        <v>186</v>
      </c>
      <c r="E124" s="8" t="s">
        <v>1084</v>
      </c>
      <c r="F124" s="8">
        <f t="shared" si="14"/>
        <v>0</v>
      </c>
      <c r="G124" s="8">
        <f t="shared" si="14"/>
        <v>0</v>
      </c>
      <c r="H124" s="8">
        <f t="shared" si="14"/>
        <v>3</v>
      </c>
      <c r="I124" s="8">
        <f t="shared" si="14"/>
        <v>6</v>
      </c>
      <c r="J124" s="8">
        <f t="shared" si="13"/>
        <v>3</v>
      </c>
      <c r="K124" s="15">
        <v>2.3148153559304774E-5</v>
      </c>
      <c r="M124" s="8">
        <f t="shared" si="10"/>
        <v>219</v>
      </c>
      <c r="N124" s="9" t="s">
        <v>63</v>
      </c>
      <c r="O124" s="9" t="s">
        <v>16</v>
      </c>
      <c r="P124" s="9">
        <v>1506</v>
      </c>
      <c r="Q124" s="9">
        <v>110</v>
      </c>
      <c r="R124" s="8" t="s">
        <v>17</v>
      </c>
      <c r="S124" s="11">
        <v>182</v>
      </c>
      <c r="T124" s="10">
        <v>0.27</v>
      </c>
    </row>
    <row r="125" spans="1:20" x14ac:dyDescent="0.3">
      <c r="A125" s="7">
        <f t="shared" si="11"/>
        <v>120</v>
      </c>
      <c r="B125" s="8">
        <v>16</v>
      </c>
      <c r="C125" s="9" t="str">
        <f t="shared" si="9"/>
        <v>2200x85185fe3A4e36079818Ba1d12705A9B6898997040xa60AdD2af71a4f50b3F94509E71a1e9DbDeA5dDa1223493unidade2430027</v>
      </c>
      <c r="D125" s="13" t="s">
        <v>187</v>
      </c>
      <c r="E125" s="8" t="s">
        <v>587</v>
      </c>
      <c r="F125" s="8">
        <f t="shared" si="14"/>
        <v>0</v>
      </c>
      <c r="G125" s="8">
        <f t="shared" si="14"/>
        <v>0</v>
      </c>
      <c r="H125" s="8">
        <f t="shared" si="14"/>
        <v>0</v>
      </c>
      <c r="I125" s="8">
        <f t="shared" si="14"/>
        <v>6</v>
      </c>
      <c r="J125" s="8">
        <f t="shared" si="13"/>
        <v>0</v>
      </c>
      <c r="K125" s="15">
        <v>0</v>
      </c>
      <c r="M125" s="8">
        <f t="shared" si="10"/>
        <v>220</v>
      </c>
      <c r="N125" s="9" t="s">
        <v>63</v>
      </c>
      <c r="O125" s="9" t="s">
        <v>16</v>
      </c>
      <c r="P125" s="9">
        <v>1223</v>
      </c>
      <c r="Q125" s="9">
        <v>493</v>
      </c>
      <c r="R125" s="8" t="s">
        <v>17</v>
      </c>
      <c r="S125" s="11">
        <v>243</v>
      </c>
      <c r="T125" s="10">
        <v>0.27</v>
      </c>
    </row>
    <row r="126" spans="1:20" x14ac:dyDescent="0.3">
      <c r="A126" s="7">
        <f t="shared" si="11"/>
        <v>121</v>
      </c>
      <c r="B126" s="8">
        <v>154</v>
      </c>
      <c r="C126" s="9" t="str">
        <f t="shared" si="9"/>
        <v>2210x85185fe3A4e36079818Ba1d12705A9B6898997040xa60AdD2af71a4f50b3F94509E71a1e9DbDeA5dDa1681134unidade1550027</v>
      </c>
      <c r="D126" s="13" t="s">
        <v>188</v>
      </c>
      <c r="E126" s="8" t="s">
        <v>588</v>
      </c>
      <c r="F126" s="8">
        <f t="shared" si="14"/>
        <v>0</v>
      </c>
      <c r="G126" s="8">
        <f t="shared" si="14"/>
        <v>0</v>
      </c>
      <c r="H126" s="8">
        <f t="shared" si="14"/>
        <v>0</v>
      </c>
      <c r="I126" s="8">
        <f t="shared" si="14"/>
        <v>1</v>
      </c>
      <c r="J126" s="8">
        <f t="shared" si="13"/>
        <v>0</v>
      </c>
      <c r="K126" s="15">
        <v>3.4722223062999547E-5</v>
      </c>
      <c r="M126" s="8">
        <f t="shared" si="10"/>
        <v>221</v>
      </c>
      <c r="N126" s="9" t="s">
        <v>63</v>
      </c>
      <c r="O126" s="9" t="s">
        <v>16</v>
      </c>
      <c r="P126" s="9">
        <v>1681</v>
      </c>
      <c r="Q126" s="9">
        <v>134</v>
      </c>
      <c r="R126" s="8" t="s">
        <v>17</v>
      </c>
      <c r="S126" s="11">
        <v>155</v>
      </c>
      <c r="T126" s="10">
        <v>0.27</v>
      </c>
    </row>
    <row r="127" spans="1:20" x14ac:dyDescent="0.3">
      <c r="A127" s="7">
        <f t="shared" si="11"/>
        <v>122</v>
      </c>
      <c r="B127" s="8">
        <v>663</v>
      </c>
      <c r="C127" s="9" t="str">
        <f t="shared" si="9"/>
        <v>2220x85185fe3A4e36079818Ba1d12705A9B6898997040xa60AdD2af71a4f50b3F94509E71a1e9DbDeA5dDa1001473unidade1780027</v>
      </c>
      <c r="D127" s="13" t="s">
        <v>189</v>
      </c>
      <c r="E127" s="8" t="s">
        <v>1085</v>
      </c>
      <c r="F127" s="8">
        <f t="shared" si="14"/>
        <v>0</v>
      </c>
      <c r="G127" s="8">
        <f t="shared" si="14"/>
        <v>0</v>
      </c>
      <c r="H127" s="8">
        <f t="shared" si="14"/>
        <v>7</v>
      </c>
      <c r="I127" s="8">
        <f t="shared" si="14"/>
        <v>1</v>
      </c>
      <c r="J127" s="8">
        <f t="shared" si="13"/>
        <v>7</v>
      </c>
      <c r="K127" s="15">
        <v>1.7361111531499773E-4</v>
      </c>
      <c r="M127" s="8">
        <f t="shared" si="10"/>
        <v>222</v>
      </c>
      <c r="N127" s="9" t="s">
        <v>63</v>
      </c>
      <c r="O127" s="9" t="s">
        <v>16</v>
      </c>
      <c r="P127" s="9">
        <v>1001</v>
      </c>
      <c r="Q127" s="9">
        <v>473</v>
      </c>
      <c r="R127" s="8" t="s">
        <v>17</v>
      </c>
      <c r="S127" s="11">
        <v>178</v>
      </c>
      <c r="T127" s="10">
        <v>0.27</v>
      </c>
    </row>
    <row r="128" spans="1:20" x14ac:dyDescent="0.3">
      <c r="A128" s="7">
        <f t="shared" si="11"/>
        <v>123</v>
      </c>
      <c r="B128" s="8">
        <v>198</v>
      </c>
      <c r="C128" s="9" t="str">
        <f t="shared" si="9"/>
        <v>2230x85185fe3A4e36079818Ba1d12705A9B6898997040xa60AdD2af71a4f50b3F94509E71a1e9DbDeA5dDa1229475unidade1090027</v>
      </c>
      <c r="D128" s="13" t="s">
        <v>190</v>
      </c>
      <c r="E128" s="8" t="s">
        <v>590</v>
      </c>
      <c r="F128" s="8">
        <f t="shared" si="14"/>
        <v>0</v>
      </c>
      <c r="G128" s="8">
        <f t="shared" si="14"/>
        <v>0</v>
      </c>
      <c r="H128" s="8">
        <f t="shared" si="14"/>
        <v>0</v>
      </c>
      <c r="I128" s="8">
        <f t="shared" si="14"/>
        <v>1</v>
      </c>
      <c r="J128" s="8">
        <f t="shared" si="13"/>
        <v>0</v>
      </c>
      <c r="K128" s="15">
        <v>4.6296292566694319E-5</v>
      </c>
      <c r="M128" s="8">
        <f t="shared" si="10"/>
        <v>223</v>
      </c>
      <c r="N128" s="9" t="s">
        <v>63</v>
      </c>
      <c r="O128" s="9" t="s">
        <v>16</v>
      </c>
      <c r="P128" s="9">
        <v>1229</v>
      </c>
      <c r="Q128" s="9">
        <v>475</v>
      </c>
      <c r="R128" s="8" t="s">
        <v>17</v>
      </c>
      <c r="S128" s="11">
        <v>109</v>
      </c>
      <c r="T128" s="10">
        <v>0.27</v>
      </c>
    </row>
    <row r="129" spans="1:20" x14ac:dyDescent="0.3">
      <c r="A129" s="7">
        <f t="shared" si="11"/>
        <v>124</v>
      </c>
      <c r="B129" s="8">
        <v>471</v>
      </c>
      <c r="C129" s="9" t="str">
        <f t="shared" si="9"/>
        <v>2240x85185fe3A4e36079818Ba1d12705A9B6898997040xa60AdD2af71a4f50b3F94509E71a1e9DbDeA5dDa1993237unidade2100027</v>
      </c>
      <c r="D129" s="13" t="s">
        <v>191</v>
      </c>
      <c r="E129" s="8" t="s">
        <v>1086</v>
      </c>
      <c r="F129" s="8">
        <f t="shared" si="14"/>
        <v>0</v>
      </c>
      <c r="G129" s="8">
        <f t="shared" si="14"/>
        <v>0</v>
      </c>
      <c r="H129" s="8">
        <f t="shared" si="14"/>
        <v>1</v>
      </c>
      <c r="I129" s="8">
        <f t="shared" si="14"/>
        <v>8</v>
      </c>
      <c r="J129" s="8">
        <f t="shared" si="13"/>
        <v>1</v>
      </c>
      <c r="K129" s="15">
        <v>1.273148154723458E-4</v>
      </c>
      <c r="M129" s="8">
        <f t="shared" si="10"/>
        <v>224</v>
      </c>
      <c r="N129" s="9" t="s">
        <v>63</v>
      </c>
      <c r="O129" s="9" t="s">
        <v>16</v>
      </c>
      <c r="P129" s="9">
        <v>1993</v>
      </c>
      <c r="Q129" s="9">
        <v>237</v>
      </c>
      <c r="R129" s="8" t="s">
        <v>17</v>
      </c>
      <c r="S129" s="11">
        <v>210</v>
      </c>
      <c r="T129" s="10">
        <v>0.27</v>
      </c>
    </row>
    <row r="130" spans="1:20" x14ac:dyDescent="0.3">
      <c r="A130" s="7">
        <f t="shared" si="11"/>
        <v>125</v>
      </c>
      <c r="B130" s="8">
        <v>66</v>
      </c>
      <c r="C130" s="9" t="str">
        <f t="shared" si="9"/>
        <v>2250x85185fe3A4e36079818Ba1d12705A9B6898997040xa60AdD2af71a4f50b3F94509E71a1e9DbDeA5dDa1065474unidade2260027</v>
      </c>
      <c r="D130" s="13" t="s">
        <v>192</v>
      </c>
      <c r="E130" s="8" t="s">
        <v>1087</v>
      </c>
      <c r="F130" s="8">
        <f t="shared" si="14"/>
        <v>0</v>
      </c>
      <c r="G130" s="8">
        <f t="shared" si="14"/>
        <v>0</v>
      </c>
      <c r="H130" s="8">
        <f t="shared" si="14"/>
        <v>8</v>
      </c>
      <c r="I130" s="8">
        <f t="shared" si="14"/>
        <v>9</v>
      </c>
      <c r="J130" s="8">
        <f t="shared" si="13"/>
        <v>8</v>
      </c>
      <c r="K130" s="15">
        <v>1.1574076779652387E-5</v>
      </c>
      <c r="M130" s="8">
        <f t="shared" si="10"/>
        <v>225</v>
      </c>
      <c r="N130" s="9" t="s">
        <v>63</v>
      </c>
      <c r="O130" s="9" t="s">
        <v>16</v>
      </c>
      <c r="P130" s="9">
        <v>1065</v>
      </c>
      <c r="Q130" s="9">
        <v>474</v>
      </c>
      <c r="R130" s="8" t="s">
        <v>17</v>
      </c>
      <c r="S130" s="11">
        <v>226</v>
      </c>
      <c r="T130" s="10">
        <v>0.27</v>
      </c>
    </row>
    <row r="131" spans="1:20" x14ac:dyDescent="0.3">
      <c r="A131" s="7">
        <f t="shared" si="11"/>
        <v>126</v>
      </c>
      <c r="B131" s="8">
        <v>26</v>
      </c>
      <c r="C131" s="9" t="str">
        <f t="shared" si="9"/>
        <v>2260x85185fe3A4e36079818Ba1d12705A9B6898997040xa60AdD2af71a4f50b3F94509E71a1e9DbDeA5dDa1264425unidade1590027</v>
      </c>
      <c r="D131" s="13" t="s">
        <v>193</v>
      </c>
      <c r="E131" s="8" t="s">
        <v>1088</v>
      </c>
      <c r="F131" s="8">
        <f t="shared" si="14"/>
        <v>0</v>
      </c>
      <c r="G131" s="8">
        <f t="shared" si="14"/>
        <v>0</v>
      </c>
      <c r="H131" s="8">
        <f t="shared" si="14"/>
        <v>3</v>
      </c>
      <c r="I131" s="8">
        <f t="shared" si="14"/>
        <v>1</v>
      </c>
      <c r="J131" s="8">
        <f t="shared" si="13"/>
        <v>3</v>
      </c>
      <c r="K131" s="15">
        <v>1.1574069503694773E-5</v>
      </c>
      <c r="M131" s="8">
        <f t="shared" si="10"/>
        <v>226</v>
      </c>
      <c r="N131" s="9" t="s">
        <v>63</v>
      </c>
      <c r="O131" s="9" t="s">
        <v>16</v>
      </c>
      <c r="P131" s="9">
        <v>1264</v>
      </c>
      <c r="Q131" s="9">
        <v>425</v>
      </c>
      <c r="R131" s="8" t="s">
        <v>17</v>
      </c>
      <c r="S131" s="11">
        <v>159</v>
      </c>
      <c r="T131" s="10">
        <v>0.27</v>
      </c>
    </row>
    <row r="132" spans="1:20" x14ac:dyDescent="0.3">
      <c r="A132" s="7">
        <f t="shared" si="11"/>
        <v>127</v>
      </c>
      <c r="B132" s="8">
        <v>6</v>
      </c>
      <c r="C132" s="9" t="str">
        <f t="shared" si="9"/>
        <v>2270x85185fe3A4e36079818Ba1d12705A9B6898997040xa60AdD2af71a4f50b3F94509E71a1e9DbDeA5dDa1426229unidade860027</v>
      </c>
      <c r="D132" s="13" t="s">
        <v>194</v>
      </c>
      <c r="E132" s="8" t="s">
        <v>1089</v>
      </c>
      <c r="F132" s="8">
        <f t="shared" si="14"/>
        <v>0</v>
      </c>
      <c r="G132" s="8">
        <f t="shared" si="14"/>
        <v>0</v>
      </c>
      <c r="H132" s="8">
        <f t="shared" si="14"/>
        <v>1</v>
      </c>
      <c r="I132" s="8">
        <f t="shared" si="14"/>
        <v>1</v>
      </c>
      <c r="J132" s="8">
        <f t="shared" si="13"/>
        <v>1</v>
      </c>
      <c r="K132" s="15">
        <v>0</v>
      </c>
      <c r="M132" s="8">
        <f t="shared" si="10"/>
        <v>227</v>
      </c>
      <c r="N132" s="9" t="s">
        <v>63</v>
      </c>
      <c r="O132" s="9" t="s">
        <v>16</v>
      </c>
      <c r="P132" s="9">
        <v>1426</v>
      </c>
      <c r="Q132" s="9">
        <v>229</v>
      </c>
      <c r="R132" s="8" t="s">
        <v>17</v>
      </c>
      <c r="S132" s="11">
        <v>86</v>
      </c>
      <c r="T132" s="10">
        <v>0.27</v>
      </c>
    </row>
    <row r="133" spans="1:20" x14ac:dyDescent="0.3">
      <c r="A133" s="7">
        <f t="shared" si="11"/>
        <v>128</v>
      </c>
      <c r="B133" s="8">
        <v>439</v>
      </c>
      <c r="C133" s="9" t="str">
        <f t="shared" si="9"/>
        <v>2280x85185fe3A4e36079818Ba1d12705A9B6898997040xa60AdD2af71a4f50b3F94509E71a1e9DbDeA5dDa1344456unidade740027</v>
      </c>
      <c r="D133" s="13" t="s">
        <v>195</v>
      </c>
      <c r="E133" s="8" t="s">
        <v>1090</v>
      </c>
      <c r="F133" s="8">
        <f t="shared" si="14"/>
        <v>0</v>
      </c>
      <c r="G133" s="8">
        <f t="shared" si="14"/>
        <v>0</v>
      </c>
      <c r="H133" s="8">
        <f t="shared" si="14"/>
        <v>4</v>
      </c>
      <c r="I133" s="8">
        <f t="shared" si="14"/>
        <v>8</v>
      </c>
      <c r="J133" s="8">
        <f t="shared" si="13"/>
        <v>4</v>
      </c>
      <c r="K133" s="15">
        <v>1.1574073869269341E-4</v>
      </c>
      <c r="M133" s="8">
        <f t="shared" si="10"/>
        <v>228</v>
      </c>
      <c r="N133" s="9" t="s">
        <v>63</v>
      </c>
      <c r="O133" s="9" t="s">
        <v>16</v>
      </c>
      <c r="P133" s="9">
        <v>1344</v>
      </c>
      <c r="Q133" s="9">
        <v>456</v>
      </c>
      <c r="R133" s="8" t="s">
        <v>17</v>
      </c>
      <c r="S133" s="11">
        <v>74</v>
      </c>
      <c r="T133" s="10">
        <v>0.27</v>
      </c>
    </row>
    <row r="134" spans="1:20" x14ac:dyDescent="0.3">
      <c r="A134" s="7">
        <f t="shared" si="11"/>
        <v>129</v>
      </c>
      <c r="B134" s="8">
        <v>631</v>
      </c>
      <c r="C134" s="9" t="str">
        <f t="shared" ref="C134:C197" si="15">M134&amp;N134&amp;O134&amp;P134&amp;Q134&amp;R134&amp;(S134*100)&amp;(T134*100)</f>
        <v>2290x85185fe3A4e36079818Ba1d12705A9B6898997040xa60AdD2af71a4f50b3F94509E71a1e9DbDeA5dDa1110326unidade1740027</v>
      </c>
      <c r="D134" s="13" t="s">
        <v>196</v>
      </c>
      <c r="E134" s="8" t="s">
        <v>1091</v>
      </c>
      <c r="F134" s="8">
        <f t="shared" si="14"/>
        <v>0</v>
      </c>
      <c r="G134" s="8">
        <f t="shared" si="14"/>
        <v>0</v>
      </c>
      <c r="H134" s="8">
        <f t="shared" si="14"/>
        <v>7</v>
      </c>
      <c r="I134" s="8">
        <f t="shared" si="14"/>
        <v>3</v>
      </c>
      <c r="J134" s="8">
        <f t="shared" si="13"/>
        <v>7</v>
      </c>
      <c r="K134" s="15">
        <v>1.6203703853534535E-4</v>
      </c>
      <c r="M134" s="8">
        <f t="shared" ref="M134:M197" si="16">1+M133</f>
        <v>229</v>
      </c>
      <c r="N134" s="9" t="s">
        <v>63</v>
      </c>
      <c r="O134" s="9" t="s">
        <v>16</v>
      </c>
      <c r="P134" s="9">
        <v>1110</v>
      </c>
      <c r="Q134" s="9">
        <v>326</v>
      </c>
      <c r="R134" s="8" t="s">
        <v>17</v>
      </c>
      <c r="S134" s="11">
        <v>174</v>
      </c>
      <c r="T134" s="10">
        <v>0.27</v>
      </c>
    </row>
    <row r="135" spans="1:20" x14ac:dyDescent="0.3">
      <c r="A135" s="7">
        <f t="shared" ref="A135:A198" si="17">1+A134</f>
        <v>130</v>
      </c>
      <c r="B135" s="8">
        <v>212</v>
      </c>
      <c r="C135" s="9" t="str">
        <f t="shared" si="15"/>
        <v>2300x85185fe3A4e36079818Ba1d12705A9B6898997040xa60AdD2af71a4f50b3F94509E71a1e9DbDeA5dDa1806479unidade660027</v>
      </c>
      <c r="D135" s="13" t="s">
        <v>197</v>
      </c>
      <c r="E135" s="8" t="s">
        <v>1092</v>
      </c>
      <c r="F135" s="8">
        <f t="shared" si="14"/>
        <v>0</v>
      </c>
      <c r="G135" s="8">
        <f t="shared" si="14"/>
        <v>0</v>
      </c>
      <c r="H135" s="8">
        <f t="shared" si="14"/>
        <v>2</v>
      </c>
      <c r="I135" s="8">
        <f t="shared" si="14"/>
        <v>9</v>
      </c>
      <c r="J135" s="8">
        <f t="shared" si="13"/>
        <v>2</v>
      </c>
      <c r="K135" s="15">
        <v>5.7870369346346706E-5</v>
      </c>
      <c r="M135" s="8">
        <f t="shared" si="16"/>
        <v>230</v>
      </c>
      <c r="N135" s="9" t="s">
        <v>63</v>
      </c>
      <c r="O135" s="9" t="s">
        <v>16</v>
      </c>
      <c r="P135" s="9">
        <v>1806</v>
      </c>
      <c r="Q135" s="9">
        <v>479</v>
      </c>
      <c r="R135" s="8" t="s">
        <v>17</v>
      </c>
      <c r="S135" s="11">
        <v>66</v>
      </c>
      <c r="T135" s="10">
        <v>0.27</v>
      </c>
    </row>
    <row r="136" spans="1:20" x14ac:dyDescent="0.3">
      <c r="A136" s="7">
        <f t="shared" si="17"/>
        <v>131</v>
      </c>
      <c r="B136" s="8">
        <v>222</v>
      </c>
      <c r="C136" s="9" t="str">
        <f t="shared" si="15"/>
        <v>2310x85185fe3A4e36079818Ba1d12705A9B6898997040xa60AdD2af71a4f50b3F94509E71a1e9DbDeA5dDa1531314unidade1750027</v>
      </c>
      <c r="D136" s="13" t="s">
        <v>198</v>
      </c>
      <c r="E136" s="8" t="s">
        <v>1093</v>
      </c>
      <c r="F136" s="8">
        <f t="shared" si="14"/>
        <v>0</v>
      </c>
      <c r="G136" s="8">
        <f t="shared" si="14"/>
        <v>0</v>
      </c>
      <c r="H136" s="8">
        <f t="shared" si="14"/>
        <v>1</v>
      </c>
      <c r="I136" s="8">
        <f t="shared" si="14"/>
        <v>4</v>
      </c>
      <c r="J136" s="8">
        <f t="shared" si="13"/>
        <v>1</v>
      </c>
      <c r="K136" s="15">
        <v>4.6296299842651933E-5</v>
      </c>
      <c r="M136" s="8">
        <f t="shared" si="16"/>
        <v>231</v>
      </c>
      <c r="N136" s="9" t="s">
        <v>63</v>
      </c>
      <c r="O136" s="9" t="s">
        <v>16</v>
      </c>
      <c r="P136" s="9">
        <v>1531</v>
      </c>
      <c r="Q136" s="9">
        <v>314</v>
      </c>
      <c r="R136" s="8" t="s">
        <v>17</v>
      </c>
      <c r="S136" s="11">
        <v>175</v>
      </c>
      <c r="T136" s="10">
        <v>0.27</v>
      </c>
    </row>
    <row r="137" spans="1:20" x14ac:dyDescent="0.3">
      <c r="A137" s="7">
        <f t="shared" si="17"/>
        <v>132</v>
      </c>
      <c r="B137" s="8">
        <v>34</v>
      </c>
      <c r="C137" s="9" t="str">
        <f t="shared" si="15"/>
        <v>2320x85185fe3A4e36079818Ba1d12705A9B6898997040xa60AdD2af71a4f50b3F94509E71a1e9DbDeA5dDa1042422unidade570027</v>
      </c>
      <c r="D137" s="13" t="s">
        <v>199</v>
      </c>
      <c r="E137" s="8" t="s">
        <v>599</v>
      </c>
      <c r="F137" s="8">
        <f t="shared" si="14"/>
        <v>0</v>
      </c>
      <c r="G137" s="8">
        <f t="shared" si="14"/>
        <v>0</v>
      </c>
      <c r="H137" s="8">
        <f t="shared" si="14"/>
        <v>0</v>
      </c>
      <c r="I137" s="8">
        <f t="shared" si="14"/>
        <v>1</v>
      </c>
      <c r="J137" s="8">
        <f t="shared" si="13"/>
        <v>0</v>
      </c>
      <c r="K137" s="15">
        <v>0</v>
      </c>
      <c r="M137" s="8">
        <f t="shared" si="16"/>
        <v>232</v>
      </c>
      <c r="N137" s="9" t="s">
        <v>63</v>
      </c>
      <c r="O137" s="9" t="s">
        <v>16</v>
      </c>
      <c r="P137" s="9">
        <v>1042</v>
      </c>
      <c r="Q137" s="9">
        <v>422</v>
      </c>
      <c r="R137" s="8" t="s">
        <v>17</v>
      </c>
      <c r="S137" s="11">
        <v>57</v>
      </c>
      <c r="T137" s="10">
        <v>0.27</v>
      </c>
    </row>
    <row r="138" spans="1:20" x14ac:dyDescent="0.3">
      <c r="A138" s="7">
        <f t="shared" si="17"/>
        <v>133</v>
      </c>
      <c r="B138" s="8">
        <v>105</v>
      </c>
      <c r="C138" s="9" t="str">
        <f t="shared" si="15"/>
        <v>2330x85185fe3A4e36079818Ba1d12705A9B6898997040xa60AdD2af71a4f50b3F94509E71a1e9DbDeA5dDa1225251unidade1650027</v>
      </c>
      <c r="D138" s="13" t="s">
        <v>200</v>
      </c>
      <c r="E138" s="8" t="s">
        <v>1094</v>
      </c>
      <c r="F138" s="8">
        <f t="shared" si="14"/>
        <v>0</v>
      </c>
      <c r="G138" s="8">
        <f t="shared" si="14"/>
        <v>0</v>
      </c>
      <c r="H138" s="8">
        <f t="shared" si="14"/>
        <v>4</v>
      </c>
      <c r="I138" s="8">
        <f t="shared" si="14"/>
        <v>7</v>
      </c>
      <c r="J138" s="8">
        <f t="shared" si="13"/>
        <v>4</v>
      </c>
      <c r="K138" s="15">
        <v>3.4722215787041932E-5</v>
      </c>
      <c r="M138" s="8">
        <f t="shared" si="16"/>
        <v>233</v>
      </c>
      <c r="N138" s="9" t="s">
        <v>63</v>
      </c>
      <c r="O138" s="9" t="s">
        <v>16</v>
      </c>
      <c r="P138" s="9">
        <v>1225</v>
      </c>
      <c r="Q138" s="9">
        <v>251</v>
      </c>
      <c r="R138" s="8" t="s">
        <v>17</v>
      </c>
      <c r="S138" s="11">
        <v>165</v>
      </c>
      <c r="T138" s="10">
        <v>0.27</v>
      </c>
    </row>
    <row r="139" spans="1:20" x14ac:dyDescent="0.3">
      <c r="A139" s="7">
        <f t="shared" si="17"/>
        <v>134</v>
      </c>
      <c r="B139" s="8">
        <v>100</v>
      </c>
      <c r="C139" s="9" t="str">
        <f t="shared" si="15"/>
        <v>2340x85185fe3A4e36079818Ba1d12705A9B6898997040xa60AdD2af71a4f50b3F94509E71a1e9DbDeA5dDa1294300unidade2280027</v>
      </c>
      <c r="D139" s="13" t="s">
        <v>201</v>
      </c>
      <c r="E139" s="8" t="s">
        <v>1095</v>
      </c>
      <c r="F139" s="8">
        <f t="shared" si="14"/>
        <v>0</v>
      </c>
      <c r="G139" s="8">
        <f t="shared" si="14"/>
        <v>0</v>
      </c>
      <c r="H139" s="8">
        <f t="shared" si="14"/>
        <v>2</v>
      </c>
      <c r="I139" s="8">
        <f t="shared" si="14"/>
        <v>8</v>
      </c>
      <c r="J139" s="8">
        <f t="shared" si="13"/>
        <v>2</v>
      </c>
      <c r="K139" s="15">
        <v>2.3148153559304774E-5</v>
      </c>
      <c r="M139" s="8">
        <f t="shared" si="16"/>
        <v>234</v>
      </c>
      <c r="N139" s="9" t="s">
        <v>63</v>
      </c>
      <c r="O139" s="9" t="s">
        <v>16</v>
      </c>
      <c r="P139" s="9">
        <v>1294</v>
      </c>
      <c r="Q139" s="9">
        <v>300</v>
      </c>
      <c r="R139" s="8" t="s">
        <v>17</v>
      </c>
      <c r="S139" s="11">
        <v>228</v>
      </c>
      <c r="T139" s="10">
        <v>0.27</v>
      </c>
    </row>
    <row r="140" spans="1:20" x14ac:dyDescent="0.3">
      <c r="A140" s="7">
        <f t="shared" si="17"/>
        <v>135</v>
      </c>
      <c r="B140" s="8">
        <v>191</v>
      </c>
      <c r="C140" s="9" t="str">
        <f t="shared" si="15"/>
        <v>2350x85185fe3A4e36079818Ba1d12705A9B6898997040xa60AdD2af71a4f50b3F94509E71a1e9DbDeA5dDa1966458unidade2450027</v>
      </c>
      <c r="D140" s="13" t="s">
        <v>202</v>
      </c>
      <c r="E140" s="8" t="s">
        <v>1096</v>
      </c>
      <c r="F140" s="8">
        <f t="shared" si="14"/>
        <v>0</v>
      </c>
      <c r="G140" s="8">
        <f t="shared" si="14"/>
        <v>0</v>
      </c>
      <c r="H140" s="8">
        <f t="shared" si="14"/>
        <v>1</v>
      </c>
      <c r="I140" s="8">
        <f t="shared" si="14"/>
        <v>1</v>
      </c>
      <c r="J140" s="8">
        <f t="shared" si="13"/>
        <v>1</v>
      </c>
      <c r="K140" s="15">
        <v>5.7870369346346706E-5</v>
      </c>
      <c r="M140" s="8">
        <f t="shared" si="16"/>
        <v>235</v>
      </c>
      <c r="N140" s="9" t="s">
        <v>63</v>
      </c>
      <c r="O140" s="9" t="s">
        <v>16</v>
      </c>
      <c r="P140" s="9">
        <v>1966</v>
      </c>
      <c r="Q140" s="9">
        <v>458</v>
      </c>
      <c r="R140" s="8" t="s">
        <v>17</v>
      </c>
      <c r="S140" s="11">
        <v>245</v>
      </c>
      <c r="T140" s="10">
        <v>0.27</v>
      </c>
    </row>
    <row r="141" spans="1:20" x14ac:dyDescent="0.3">
      <c r="A141" s="7">
        <f t="shared" si="17"/>
        <v>136</v>
      </c>
      <c r="B141" s="8">
        <v>355</v>
      </c>
      <c r="C141" s="9" t="str">
        <f t="shared" si="15"/>
        <v>2360x85185fe3A4e36079818Ba1d12705A9B6898997040xa60AdD2af71a4f50b3F94509E71a1e9DbDeA5dDa1678118unidade2440027</v>
      </c>
      <c r="D141" s="13" t="s">
        <v>203</v>
      </c>
      <c r="E141" s="8" t="s">
        <v>1097</v>
      </c>
      <c r="F141" s="8">
        <f t="shared" si="14"/>
        <v>0</v>
      </c>
      <c r="G141" s="8">
        <f t="shared" si="14"/>
        <v>0</v>
      </c>
      <c r="H141" s="8">
        <f t="shared" si="14"/>
        <v>1</v>
      </c>
      <c r="I141" s="8">
        <f t="shared" si="14"/>
        <v>1</v>
      </c>
      <c r="J141" s="8">
        <f t="shared" si="13"/>
        <v>1</v>
      </c>
      <c r="K141" s="15">
        <v>9.2592592409346253E-5</v>
      </c>
      <c r="M141" s="8">
        <f t="shared" si="16"/>
        <v>236</v>
      </c>
      <c r="N141" s="9" t="s">
        <v>63</v>
      </c>
      <c r="O141" s="9" t="s">
        <v>16</v>
      </c>
      <c r="P141" s="9">
        <v>1678</v>
      </c>
      <c r="Q141" s="9">
        <v>118</v>
      </c>
      <c r="R141" s="8" t="s">
        <v>17</v>
      </c>
      <c r="S141" s="11">
        <v>244</v>
      </c>
      <c r="T141" s="10">
        <v>0.27</v>
      </c>
    </row>
    <row r="142" spans="1:20" x14ac:dyDescent="0.3">
      <c r="A142" s="7">
        <f t="shared" si="17"/>
        <v>137</v>
      </c>
      <c r="B142" s="8">
        <v>234</v>
      </c>
      <c r="C142" s="9" t="str">
        <f t="shared" si="15"/>
        <v>2370x85185fe3A4e36079818Ba1d12705A9B6898997040xa60AdD2af71a4f50b3F94509E71a1e9DbDeA5dDa1693270unidade2070027</v>
      </c>
      <c r="D142" s="13" t="s">
        <v>204</v>
      </c>
      <c r="E142" s="8" t="s">
        <v>1098</v>
      </c>
      <c r="F142" s="8">
        <f t="shared" si="14"/>
        <v>0</v>
      </c>
      <c r="G142" s="8">
        <f t="shared" si="14"/>
        <v>0</v>
      </c>
      <c r="H142" s="8">
        <f t="shared" si="14"/>
        <v>9</v>
      </c>
      <c r="I142" s="8">
        <f t="shared" si="14"/>
        <v>7</v>
      </c>
      <c r="J142" s="8">
        <f t="shared" si="13"/>
        <v>9</v>
      </c>
      <c r="K142" s="15">
        <v>5.7870369346346706E-5</v>
      </c>
      <c r="M142" s="8">
        <f t="shared" si="16"/>
        <v>237</v>
      </c>
      <c r="N142" s="9" t="s">
        <v>63</v>
      </c>
      <c r="O142" s="9" t="s">
        <v>16</v>
      </c>
      <c r="P142" s="9">
        <v>1693</v>
      </c>
      <c r="Q142" s="9">
        <v>270</v>
      </c>
      <c r="R142" s="8" t="s">
        <v>17</v>
      </c>
      <c r="S142" s="11">
        <v>207</v>
      </c>
      <c r="T142" s="10">
        <v>0.27</v>
      </c>
    </row>
    <row r="143" spans="1:20" x14ac:dyDescent="0.3">
      <c r="A143" s="7">
        <f t="shared" si="17"/>
        <v>138</v>
      </c>
      <c r="B143" s="8">
        <v>360</v>
      </c>
      <c r="C143" s="9" t="str">
        <f t="shared" si="15"/>
        <v>2380x85185fe3A4e36079818Ba1d12705A9B6898997040xa60AdD2af71a4f50b3F94509E71a1e9DbDeA5dDa1818498unidade730027</v>
      </c>
      <c r="D143" s="13" t="s">
        <v>205</v>
      </c>
      <c r="E143" s="8" t="s">
        <v>605</v>
      </c>
      <c r="F143" s="8">
        <f t="shared" si="14"/>
        <v>0</v>
      </c>
      <c r="G143" s="8">
        <f t="shared" si="14"/>
        <v>0</v>
      </c>
      <c r="H143" s="8">
        <f t="shared" si="14"/>
        <v>0</v>
      </c>
      <c r="I143" s="8">
        <f t="shared" si="14"/>
        <v>0</v>
      </c>
      <c r="J143" s="8">
        <f t="shared" si="13"/>
        <v>0</v>
      </c>
      <c r="K143" s="15">
        <v>9.2592592409346253E-5</v>
      </c>
      <c r="M143" s="8">
        <f t="shared" si="16"/>
        <v>238</v>
      </c>
      <c r="N143" s="9" t="s">
        <v>63</v>
      </c>
      <c r="O143" s="9" t="s">
        <v>16</v>
      </c>
      <c r="P143" s="9">
        <v>1818</v>
      </c>
      <c r="Q143" s="9">
        <v>498</v>
      </c>
      <c r="R143" s="8" t="s">
        <v>17</v>
      </c>
      <c r="S143" s="11">
        <v>73</v>
      </c>
      <c r="T143" s="10">
        <v>0.27</v>
      </c>
    </row>
    <row r="144" spans="1:20" x14ac:dyDescent="0.3">
      <c r="A144" s="7">
        <f t="shared" si="17"/>
        <v>139</v>
      </c>
      <c r="B144" s="8">
        <v>75</v>
      </c>
      <c r="C144" s="9" t="str">
        <f t="shared" si="15"/>
        <v>2390x85185fe3A4e36079818Ba1d12705A9B6898997040xa60AdD2af71a4f50b3F94509E71a1e9DbDeA5dDa1102401unidade1720027</v>
      </c>
      <c r="D144" s="13" t="s">
        <v>206</v>
      </c>
      <c r="E144" s="8" t="s">
        <v>1099</v>
      </c>
      <c r="F144" s="8">
        <f t="shared" si="14"/>
        <v>0</v>
      </c>
      <c r="G144" s="8">
        <f t="shared" si="14"/>
        <v>0</v>
      </c>
      <c r="H144" s="8">
        <f t="shared" si="14"/>
        <v>1</v>
      </c>
      <c r="I144" s="8">
        <f t="shared" si="14"/>
        <v>1</v>
      </c>
      <c r="J144" s="8">
        <f t="shared" si="13"/>
        <v>1</v>
      </c>
      <c r="K144" s="15">
        <v>1.1574076779652387E-5</v>
      </c>
      <c r="M144" s="8">
        <f t="shared" si="16"/>
        <v>239</v>
      </c>
      <c r="N144" s="9" t="s">
        <v>63</v>
      </c>
      <c r="O144" s="9" t="s">
        <v>16</v>
      </c>
      <c r="P144" s="9">
        <v>1102</v>
      </c>
      <c r="Q144" s="9">
        <v>401</v>
      </c>
      <c r="R144" s="8" t="s">
        <v>17</v>
      </c>
      <c r="S144" s="11">
        <v>172</v>
      </c>
      <c r="T144" s="10">
        <v>0.27</v>
      </c>
    </row>
    <row r="145" spans="1:20" x14ac:dyDescent="0.3">
      <c r="A145" s="7">
        <f t="shared" si="17"/>
        <v>140</v>
      </c>
      <c r="B145" s="8">
        <v>125</v>
      </c>
      <c r="C145" s="9" t="str">
        <f t="shared" si="15"/>
        <v>2400x85185fe3A4e36079818Ba1d12705A9B6898997040xa60AdD2af71a4f50b3F94509E71a1e9DbDeA5dDa1267158unidade950027</v>
      </c>
      <c r="D145" s="13" t="s">
        <v>207</v>
      </c>
      <c r="E145" s="8" t="s">
        <v>1100</v>
      </c>
      <c r="F145" s="8">
        <f t="shared" si="14"/>
        <v>0</v>
      </c>
      <c r="G145" s="8">
        <f t="shared" si="14"/>
        <v>0</v>
      </c>
      <c r="H145" s="8">
        <f t="shared" si="14"/>
        <v>1</v>
      </c>
      <c r="I145" s="8">
        <f t="shared" si="14"/>
        <v>8</v>
      </c>
      <c r="J145" s="8">
        <f t="shared" si="13"/>
        <v>1</v>
      </c>
      <c r="K145" s="15">
        <v>3.4722223062999547E-5</v>
      </c>
      <c r="M145" s="8">
        <f t="shared" si="16"/>
        <v>240</v>
      </c>
      <c r="N145" s="9" t="s">
        <v>63</v>
      </c>
      <c r="O145" s="9" t="s">
        <v>16</v>
      </c>
      <c r="P145" s="9">
        <v>1267</v>
      </c>
      <c r="Q145" s="9">
        <v>158</v>
      </c>
      <c r="R145" s="8" t="s">
        <v>17</v>
      </c>
      <c r="S145" s="11">
        <v>95</v>
      </c>
      <c r="T145" s="10">
        <v>0.27</v>
      </c>
    </row>
    <row r="146" spans="1:20" x14ac:dyDescent="0.3">
      <c r="A146" s="7">
        <f t="shared" si="17"/>
        <v>141</v>
      </c>
      <c r="B146" s="8">
        <v>502</v>
      </c>
      <c r="C146" s="9" t="str">
        <f t="shared" si="15"/>
        <v>2410x85185fe3A4e36079818Ba1d12705A9B6898997040xa60AdD2af71a4f50b3F94509E71a1e9DbDeA5dDa1434458unidade1910027</v>
      </c>
      <c r="D146" s="13" t="s">
        <v>208</v>
      </c>
      <c r="E146" s="8" t="s">
        <v>1101</v>
      </c>
      <c r="F146" s="8">
        <f t="shared" si="14"/>
        <v>0</v>
      </c>
      <c r="G146" s="8">
        <f t="shared" si="14"/>
        <v>0</v>
      </c>
      <c r="H146" s="8">
        <f t="shared" si="14"/>
        <v>5</v>
      </c>
      <c r="I146" s="8">
        <f t="shared" si="14"/>
        <v>1</v>
      </c>
      <c r="J146" s="8">
        <f t="shared" si="13"/>
        <v>5</v>
      </c>
      <c r="K146" s="15">
        <v>1.2731480819638819E-4</v>
      </c>
      <c r="M146" s="8">
        <f t="shared" si="16"/>
        <v>241</v>
      </c>
      <c r="N146" s="9" t="s">
        <v>63</v>
      </c>
      <c r="O146" s="9" t="s">
        <v>16</v>
      </c>
      <c r="P146" s="9">
        <v>1434</v>
      </c>
      <c r="Q146" s="9">
        <v>458</v>
      </c>
      <c r="R146" s="8" t="s">
        <v>17</v>
      </c>
      <c r="S146" s="11">
        <v>191</v>
      </c>
      <c r="T146" s="10">
        <v>0.27</v>
      </c>
    </row>
    <row r="147" spans="1:20" x14ac:dyDescent="0.3">
      <c r="A147" s="7">
        <f t="shared" si="17"/>
        <v>142</v>
      </c>
      <c r="B147" s="8">
        <v>293</v>
      </c>
      <c r="C147" s="9" t="str">
        <f t="shared" si="15"/>
        <v>2420x85185fe3A4e36079818Ba1d12705A9B6898997040xa60AdD2af71a4f50b3F94509E71a1e9DbDeA5dDa1638371unidade2330027</v>
      </c>
      <c r="D147" s="13" t="s">
        <v>209</v>
      </c>
      <c r="E147" s="8" t="s">
        <v>1102</v>
      </c>
      <c r="F147" s="8">
        <f t="shared" si="14"/>
        <v>0</v>
      </c>
      <c r="G147" s="8">
        <f t="shared" si="14"/>
        <v>0</v>
      </c>
      <c r="H147" s="8">
        <f t="shared" si="14"/>
        <v>3</v>
      </c>
      <c r="I147" s="8">
        <f t="shared" si="14"/>
        <v>8</v>
      </c>
      <c r="J147" s="8">
        <f t="shared" si="13"/>
        <v>3</v>
      </c>
      <c r="K147" s="15">
        <v>8.101852290565148E-5</v>
      </c>
      <c r="M147" s="8">
        <f t="shared" si="16"/>
        <v>242</v>
      </c>
      <c r="N147" s="9" t="s">
        <v>63</v>
      </c>
      <c r="O147" s="9" t="s">
        <v>16</v>
      </c>
      <c r="P147" s="9">
        <v>1638</v>
      </c>
      <c r="Q147" s="9">
        <v>371</v>
      </c>
      <c r="R147" s="8" t="s">
        <v>17</v>
      </c>
      <c r="S147" s="11">
        <v>233</v>
      </c>
      <c r="T147" s="10">
        <v>0.27</v>
      </c>
    </row>
    <row r="148" spans="1:20" x14ac:dyDescent="0.3">
      <c r="A148" s="7">
        <f t="shared" si="17"/>
        <v>143</v>
      </c>
      <c r="B148" s="8">
        <v>180</v>
      </c>
      <c r="C148" s="9" t="str">
        <f t="shared" si="15"/>
        <v>2430x85185fe3A4e36079818Ba1d12705A9B6898997040xa60AdD2af71a4f50b3F94509E71a1e9DbDeA5dDa1935311unidade700027</v>
      </c>
      <c r="D148" s="13" t="s">
        <v>210</v>
      </c>
      <c r="E148" s="8" t="s">
        <v>610</v>
      </c>
      <c r="F148" s="8">
        <f t="shared" si="14"/>
        <v>0</v>
      </c>
      <c r="G148" s="8">
        <f t="shared" si="14"/>
        <v>0</v>
      </c>
      <c r="H148" s="8">
        <f t="shared" si="14"/>
        <v>0</v>
      </c>
      <c r="I148" s="8">
        <f t="shared" si="14"/>
        <v>1</v>
      </c>
      <c r="J148" s="8">
        <f t="shared" si="13"/>
        <v>0</v>
      </c>
      <c r="K148" s="15">
        <v>4.6296292566694319E-5</v>
      </c>
      <c r="M148" s="8">
        <f t="shared" si="16"/>
        <v>243</v>
      </c>
      <c r="N148" s="9" t="s">
        <v>63</v>
      </c>
      <c r="O148" s="9" t="s">
        <v>16</v>
      </c>
      <c r="P148" s="9">
        <v>1935</v>
      </c>
      <c r="Q148" s="9">
        <v>311</v>
      </c>
      <c r="R148" s="8" t="s">
        <v>17</v>
      </c>
      <c r="S148" s="11">
        <v>70</v>
      </c>
      <c r="T148" s="10">
        <v>0.27</v>
      </c>
    </row>
    <row r="149" spans="1:20" x14ac:dyDescent="0.3">
      <c r="A149" s="7">
        <f t="shared" si="17"/>
        <v>144</v>
      </c>
      <c r="B149" s="8">
        <v>80</v>
      </c>
      <c r="C149" s="9" t="str">
        <f t="shared" si="15"/>
        <v>2440x85185fe3A4e36079818Ba1d12705A9B6898997040xa60AdD2af71a4f50b3F94509E71a1e9DbDeA5dDa1911278unidade2500027</v>
      </c>
      <c r="D149" s="13" t="s">
        <v>211</v>
      </c>
      <c r="E149" s="8" t="s">
        <v>1103</v>
      </c>
      <c r="F149" s="8">
        <f t="shared" si="14"/>
        <v>0</v>
      </c>
      <c r="G149" s="8">
        <f t="shared" si="14"/>
        <v>0</v>
      </c>
      <c r="H149" s="8">
        <f t="shared" si="14"/>
        <v>5</v>
      </c>
      <c r="I149" s="8">
        <f t="shared" si="14"/>
        <v>6</v>
      </c>
      <c r="J149" s="8">
        <f t="shared" si="13"/>
        <v>5</v>
      </c>
      <c r="K149" s="15">
        <v>2.3148153559304774E-5</v>
      </c>
      <c r="M149" s="8">
        <f t="shared" si="16"/>
        <v>244</v>
      </c>
      <c r="N149" s="9" t="s">
        <v>63</v>
      </c>
      <c r="O149" s="9" t="s">
        <v>16</v>
      </c>
      <c r="P149" s="9">
        <v>1911</v>
      </c>
      <c r="Q149" s="9">
        <v>278</v>
      </c>
      <c r="R149" s="8" t="s">
        <v>17</v>
      </c>
      <c r="S149" s="11">
        <v>250</v>
      </c>
      <c r="T149" s="10">
        <v>0.27</v>
      </c>
    </row>
    <row r="150" spans="1:20" x14ac:dyDescent="0.3">
      <c r="A150" s="7">
        <f t="shared" si="17"/>
        <v>145</v>
      </c>
      <c r="B150" s="8">
        <v>74</v>
      </c>
      <c r="C150" s="9" t="str">
        <f t="shared" si="15"/>
        <v>2450x85185fe3A4e36079818Ba1d12705A9B6898997040xa60AdD2af71a4f50b3F94509E71a1e9DbDeA5dDa1018216unidade1380027</v>
      </c>
      <c r="D150" s="13" t="s">
        <v>212</v>
      </c>
      <c r="E150" s="8" t="s">
        <v>1104</v>
      </c>
      <c r="F150" s="8">
        <f t="shared" si="14"/>
        <v>0</v>
      </c>
      <c r="G150" s="8">
        <f t="shared" si="14"/>
        <v>0</v>
      </c>
      <c r="H150" s="8">
        <f t="shared" si="14"/>
        <v>1</v>
      </c>
      <c r="I150" s="8">
        <f t="shared" si="14"/>
        <v>1</v>
      </c>
      <c r="J150" s="8">
        <f t="shared" si="13"/>
        <v>1</v>
      </c>
      <c r="K150" s="15">
        <v>2.314814628334716E-5</v>
      </c>
      <c r="M150" s="8">
        <f t="shared" si="16"/>
        <v>245</v>
      </c>
      <c r="N150" s="9" t="s">
        <v>63</v>
      </c>
      <c r="O150" s="9" t="s">
        <v>16</v>
      </c>
      <c r="P150" s="9">
        <v>1018</v>
      </c>
      <c r="Q150" s="9">
        <v>216</v>
      </c>
      <c r="R150" s="8" t="s">
        <v>17</v>
      </c>
      <c r="S150" s="11">
        <v>138</v>
      </c>
      <c r="T150" s="10">
        <v>0.27</v>
      </c>
    </row>
    <row r="151" spans="1:20" x14ac:dyDescent="0.3">
      <c r="A151" s="7">
        <f t="shared" si="17"/>
        <v>146</v>
      </c>
      <c r="B151" s="8">
        <v>217</v>
      </c>
      <c r="C151" s="9" t="str">
        <f t="shared" si="15"/>
        <v>2460x85185fe3A4e36079818Ba1d12705A9B6898997040xa60AdD2af71a4f50b3F94509E71a1e9DbDeA5dDa1183411unidade1550027</v>
      </c>
      <c r="D151" s="13" t="s">
        <v>213</v>
      </c>
      <c r="E151" s="8" t="s">
        <v>1105</v>
      </c>
      <c r="F151" s="8">
        <f t="shared" si="14"/>
        <v>0</v>
      </c>
      <c r="G151" s="8">
        <f t="shared" si="14"/>
        <v>0</v>
      </c>
      <c r="H151" s="8">
        <f t="shared" si="14"/>
        <v>1</v>
      </c>
      <c r="I151" s="8">
        <f t="shared" si="14"/>
        <v>1</v>
      </c>
      <c r="J151" s="8">
        <f t="shared" si="13"/>
        <v>1</v>
      </c>
      <c r="K151" s="15">
        <v>4.6296292566694319E-5</v>
      </c>
      <c r="M151" s="8">
        <f t="shared" si="16"/>
        <v>246</v>
      </c>
      <c r="N151" s="9" t="s">
        <v>63</v>
      </c>
      <c r="O151" s="9" t="s">
        <v>16</v>
      </c>
      <c r="P151" s="9">
        <v>1183</v>
      </c>
      <c r="Q151" s="9">
        <v>411</v>
      </c>
      <c r="R151" s="8" t="s">
        <v>17</v>
      </c>
      <c r="S151" s="11">
        <v>155</v>
      </c>
      <c r="T151" s="10">
        <v>0.27</v>
      </c>
    </row>
    <row r="152" spans="1:20" x14ac:dyDescent="0.3">
      <c r="A152" s="7">
        <f t="shared" si="17"/>
        <v>147</v>
      </c>
      <c r="B152" s="8">
        <v>233</v>
      </c>
      <c r="C152" s="9" t="str">
        <f t="shared" si="15"/>
        <v>2470x85185fe3A4e36079818Ba1d12705A9B6898997040xa60AdD2af71a4f50b3F94509E71a1e9DbDeA5dDa1080280unidade1880027</v>
      </c>
      <c r="D152" s="13" t="s">
        <v>214</v>
      </c>
      <c r="E152" s="8" t="s">
        <v>1106</v>
      </c>
      <c r="F152" s="8">
        <f t="shared" si="14"/>
        <v>0</v>
      </c>
      <c r="G152" s="8">
        <f t="shared" si="14"/>
        <v>0</v>
      </c>
      <c r="H152" s="8">
        <f t="shared" si="14"/>
        <v>1</v>
      </c>
      <c r="I152" s="8">
        <f t="shared" si="14"/>
        <v>6</v>
      </c>
      <c r="J152" s="8">
        <f t="shared" si="13"/>
        <v>1</v>
      </c>
      <c r="K152" s="15">
        <v>5.787037662230432E-5</v>
      </c>
      <c r="M152" s="8">
        <f t="shared" si="16"/>
        <v>247</v>
      </c>
      <c r="N152" s="9" t="s">
        <v>63</v>
      </c>
      <c r="O152" s="9" t="s">
        <v>16</v>
      </c>
      <c r="P152" s="9">
        <v>1080</v>
      </c>
      <c r="Q152" s="9">
        <v>280</v>
      </c>
      <c r="R152" s="8" t="s">
        <v>17</v>
      </c>
      <c r="S152" s="11">
        <v>188</v>
      </c>
      <c r="T152" s="10">
        <v>0.27</v>
      </c>
    </row>
    <row r="153" spans="1:20" x14ac:dyDescent="0.3">
      <c r="A153" s="7">
        <f t="shared" si="17"/>
        <v>148</v>
      </c>
      <c r="B153" s="8">
        <v>254</v>
      </c>
      <c r="C153" s="9" t="str">
        <f t="shared" si="15"/>
        <v>2480x85185fe3A4e36079818Ba1d12705A9B6898997040xa60AdD2af71a4f50b3F94509E71a1e9DbDeA5dDa1739284unidade1980027</v>
      </c>
      <c r="D153" s="13" t="s">
        <v>215</v>
      </c>
      <c r="E153" s="8" t="s">
        <v>1107</v>
      </c>
      <c r="F153" s="8">
        <f t="shared" si="14"/>
        <v>0</v>
      </c>
      <c r="G153" s="8">
        <f t="shared" si="14"/>
        <v>0</v>
      </c>
      <c r="H153" s="8">
        <f t="shared" si="14"/>
        <v>1</v>
      </c>
      <c r="I153" s="8">
        <f t="shared" si="14"/>
        <v>1</v>
      </c>
      <c r="J153" s="8">
        <f t="shared" si="13"/>
        <v>1</v>
      </c>
      <c r="K153" s="15">
        <v>5.7870369346346706E-5</v>
      </c>
      <c r="M153" s="8">
        <f t="shared" si="16"/>
        <v>248</v>
      </c>
      <c r="N153" s="9" t="s">
        <v>63</v>
      </c>
      <c r="O153" s="9" t="s">
        <v>16</v>
      </c>
      <c r="P153" s="9">
        <v>1739</v>
      </c>
      <c r="Q153" s="9">
        <v>284</v>
      </c>
      <c r="R153" s="8" t="s">
        <v>17</v>
      </c>
      <c r="S153" s="11">
        <v>198</v>
      </c>
      <c r="T153" s="10">
        <v>0.27</v>
      </c>
    </row>
    <row r="154" spans="1:20" x14ac:dyDescent="0.3">
      <c r="A154" s="7">
        <f t="shared" si="17"/>
        <v>149</v>
      </c>
      <c r="B154" s="8">
        <v>112</v>
      </c>
      <c r="C154" s="9" t="str">
        <f t="shared" si="15"/>
        <v>2490x85185fe3A4e36079818Ba1d12705A9B6898997040xa60AdD2af71a4f50b3F94509E71a1e9DbDeA5dDa1894318unidade1800027</v>
      </c>
      <c r="D154" s="13" t="s">
        <v>216</v>
      </c>
      <c r="E154" s="8" t="s">
        <v>1108</v>
      </c>
      <c r="F154" s="8">
        <f t="shared" si="14"/>
        <v>0</v>
      </c>
      <c r="G154" s="8">
        <f t="shared" si="14"/>
        <v>0</v>
      </c>
      <c r="H154" s="8">
        <f t="shared" si="14"/>
        <v>4</v>
      </c>
      <c r="I154" s="8">
        <f t="shared" si="14"/>
        <v>1</v>
      </c>
      <c r="J154" s="8">
        <f t="shared" si="13"/>
        <v>4</v>
      </c>
      <c r="K154" s="15">
        <v>3.4722223062999547E-5</v>
      </c>
      <c r="M154" s="8">
        <f t="shared" si="16"/>
        <v>249</v>
      </c>
      <c r="N154" s="9" t="s">
        <v>63</v>
      </c>
      <c r="O154" s="9" t="s">
        <v>16</v>
      </c>
      <c r="P154" s="9">
        <v>1894</v>
      </c>
      <c r="Q154" s="9">
        <v>318</v>
      </c>
      <c r="R154" s="8" t="s">
        <v>17</v>
      </c>
      <c r="S154" s="11">
        <v>180</v>
      </c>
      <c r="T154" s="10">
        <v>0.27</v>
      </c>
    </row>
    <row r="155" spans="1:20" x14ac:dyDescent="0.3">
      <c r="A155" s="7">
        <f t="shared" si="17"/>
        <v>150</v>
      </c>
      <c r="B155" s="8">
        <v>113</v>
      </c>
      <c r="C155" s="9" t="str">
        <f t="shared" si="15"/>
        <v>2500x85185fe3A4e36079818Ba1d12705A9B6898997040xa60AdD2af71a4f50b3F94509E71a1e9DbDeA5dDa1185475unidade1550027</v>
      </c>
      <c r="D155" s="13" t="s">
        <v>217</v>
      </c>
      <c r="E155" s="8" t="s">
        <v>1109</v>
      </c>
      <c r="F155" s="8">
        <f t="shared" si="14"/>
        <v>0</v>
      </c>
      <c r="G155" s="8">
        <f t="shared" si="14"/>
        <v>0</v>
      </c>
      <c r="H155" s="8">
        <f t="shared" si="14"/>
        <v>1</v>
      </c>
      <c r="I155" s="8">
        <f t="shared" si="14"/>
        <v>6</v>
      </c>
      <c r="J155" s="8">
        <f t="shared" si="13"/>
        <v>1</v>
      </c>
      <c r="K155" s="15">
        <v>2.314814628334716E-5</v>
      </c>
      <c r="M155" s="8">
        <f t="shared" si="16"/>
        <v>250</v>
      </c>
      <c r="N155" s="9" t="s">
        <v>63</v>
      </c>
      <c r="O155" s="9" t="s">
        <v>16</v>
      </c>
      <c r="P155" s="9">
        <v>1185</v>
      </c>
      <c r="Q155" s="9">
        <v>475</v>
      </c>
      <c r="R155" s="8" t="s">
        <v>17</v>
      </c>
      <c r="S155" s="11">
        <v>155</v>
      </c>
      <c r="T155" s="10">
        <v>0.27</v>
      </c>
    </row>
    <row r="156" spans="1:20" x14ac:dyDescent="0.3">
      <c r="A156" s="7">
        <f t="shared" si="17"/>
        <v>151</v>
      </c>
      <c r="B156" s="8">
        <v>155</v>
      </c>
      <c r="C156" s="9" t="str">
        <f t="shared" si="15"/>
        <v>2510x85185fe3A4e36079818Ba1d12705A9B6898997040xa60AdD2af71a4f50b3F94509E71a1e9DbDeA5dDa1440167unidade1140027</v>
      </c>
      <c r="D156" s="13" t="s">
        <v>218</v>
      </c>
      <c r="E156" s="8" t="s">
        <v>1110</v>
      </c>
      <c r="F156" s="8">
        <f t="shared" si="14"/>
        <v>0</v>
      </c>
      <c r="G156" s="8">
        <f t="shared" si="14"/>
        <v>0</v>
      </c>
      <c r="H156" s="8">
        <f t="shared" si="14"/>
        <v>4</v>
      </c>
      <c r="I156" s="8">
        <f t="shared" si="14"/>
        <v>6</v>
      </c>
      <c r="J156" s="8">
        <f t="shared" si="13"/>
        <v>4</v>
      </c>
      <c r="K156" s="15">
        <v>4.6296299842651933E-5</v>
      </c>
      <c r="M156" s="8">
        <f t="shared" si="16"/>
        <v>251</v>
      </c>
      <c r="N156" s="9" t="s">
        <v>63</v>
      </c>
      <c r="O156" s="9" t="s">
        <v>16</v>
      </c>
      <c r="P156" s="9">
        <v>1440</v>
      </c>
      <c r="Q156" s="9">
        <v>167</v>
      </c>
      <c r="R156" s="8" t="s">
        <v>17</v>
      </c>
      <c r="S156" s="11">
        <v>114</v>
      </c>
      <c r="T156" s="10">
        <v>0.27</v>
      </c>
    </row>
    <row r="157" spans="1:20" x14ac:dyDescent="0.3">
      <c r="A157" s="7">
        <f t="shared" si="17"/>
        <v>152</v>
      </c>
      <c r="B157" s="8">
        <v>203</v>
      </c>
      <c r="C157" s="9" t="str">
        <f t="shared" si="15"/>
        <v>2520x85185fe3A4e36079818Ba1d12705A9B6898997040xa60AdD2af71a4f50b3F94509E71a1e9DbDeA5dDa1119175unidade970027</v>
      </c>
      <c r="D157" s="13" t="s">
        <v>219</v>
      </c>
      <c r="E157" s="8" t="s">
        <v>1111</v>
      </c>
      <c r="F157" s="8">
        <f t="shared" si="14"/>
        <v>0</v>
      </c>
      <c r="G157" s="8">
        <f t="shared" si="14"/>
        <v>0</v>
      </c>
      <c r="H157" s="8">
        <f t="shared" si="14"/>
        <v>1</v>
      </c>
      <c r="I157" s="8">
        <f t="shared" si="14"/>
        <v>1</v>
      </c>
      <c r="J157" s="8">
        <f t="shared" si="13"/>
        <v>1</v>
      </c>
      <c r="K157" s="15">
        <v>4.6296292566694319E-5</v>
      </c>
      <c r="M157" s="8">
        <f t="shared" si="16"/>
        <v>252</v>
      </c>
      <c r="N157" s="9" t="s">
        <v>63</v>
      </c>
      <c r="O157" s="9" t="s">
        <v>16</v>
      </c>
      <c r="P157" s="9">
        <v>1119</v>
      </c>
      <c r="Q157" s="9">
        <v>175</v>
      </c>
      <c r="R157" s="8" t="s">
        <v>17</v>
      </c>
      <c r="S157" s="11">
        <v>97</v>
      </c>
      <c r="T157" s="10">
        <v>0.27</v>
      </c>
    </row>
    <row r="158" spans="1:20" x14ac:dyDescent="0.3">
      <c r="A158" s="7">
        <f t="shared" si="17"/>
        <v>153</v>
      </c>
      <c r="B158" s="8">
        <v>32</v>
      </c>
      <c r="C158" s="9" t="str">
        <f t="shared" si="15"/>
        <v>2530x85185fe3A4e36079818Ba1d12705A9B6898997040xa60AdD2af71a4f50b3F94509E71a1e9DbDeA5dDa1563187unidade580027</v>
      </c>
      <c r="D158" s="13" t="s">
        <v>220</v>
      </c>
      <c r="E158" s="8" t="s">
        <v>1112</v>
      </c>
      <c r="F158" s="8">
        <f t="shared" si="14"/>
        <v>0</v>
      </c>
      <c r="G158" s="8">
        <f t="shared" si="14"/>
        <v>0</v>
      </c>
      <c r="H158" s="8">
        <f t="shared" si="14"/>
        <v>1</v>
      </c>
      <c r="I158" s="8">
        <f t="shared" si="14"/>
        <v>1</v>
      </c>
      <c r="J158" s="8">
        <f t="shared" si="13"/>
        <v>1</v>
      </c>
      <c r="K158" s="15">
        <v>0</v>
      </c>
      <c r="M158" s="8">
        <f t="shared" si="16"/>
        <v>253</v>
      </c>
      <c r="N158" s="9" t="s">
        <v>63</v>
      </c>
      <c r="O158" s="9" t="s">
        <v>16</v>
      </c>
      <c r="P158" s="9">
        <v>1563</v>
      </c>
      <c r="Q158" s="9">
        <v>187</v>
      </c>
      <c r="R158" s="8" t="s">
        <v>17</v>
      </c>
      <c r="S158" s="11">
        <v>58</v>
      </c>
      <c r="T158" s="10">
        <v>0.27</v>
      </c>
    </row>
    <row r="159" spans="1:20" x14ac:dyDescent="0.3">
      <c r="A159" s="7">
        <f t="shared" si="17"/>
        <v>154</v>
      </c>
      <c r="B159" s="8">
        <v>35</v>
      </c>
      <c r="C159" s="9" t="str">
        <f t="shared" si="15"/>
        <v>2540x85185fe3A4e36079818Ba1d12705A9B6898997040xa60AdD2af71a4f50b3F94509E71a1e9DbDeA5dDa1808329unidade670027</v>
      </c>
      <c r="D159" s="13" t="s">
        <v>221</v>
      </c>
      <c r="E159" s="8" t="s">
        <v>1113</v>
      </c>
      <c r="F159" s="8">
        <f t="shared" si="14"/>
        <v>0</v>
      </c>
      <c r="G159" s="8">
        <f t="shared" si="14"/>
        <v>0</v>
      </c>
      <c r="H159" s="8">
        <f t="shared" si="14"/>
        <v>9</v>
      </c>
      <c r="I159" s="8">
        <f t="shared" si="14"/>
        <v>1</v>
      </c>
      <c r="J159" s="8">
        <f t="shared" si="13"/>
        <v>9</v>
      </c>
      <c r="K159" s="15">
        <v>1.1574076779652387E-5</v>
      </c>
      <c r="M159" s="8">
        <f t="shared" si="16"/>
        <v>254</v>
      </c>
      <c r="N159" s="9" t="s">
        <v>63</v>
      </c>
      <c r="O159" s="9" t="s">
        <v>16</v>
      </c>
      <c r="P159" s="9">
        <v>1808</v>
      </c>
      <c r="Q159" s="9">
        <v>329</v>
      </c>
      <c r="R159" s="8" t="s">
        <v>17</v>
      </c>
      <c r="S159" s="11">
        <v>67</v>
      </c>
      <c r="T159" s="10">
        <v>0.27</v>
      </c>
    </row>
    <row r="160" spans="1:20" x14ac:dyDescent="0.3">
      <c r="A160" s="7">
        <f t="shared" si="17"/>
        <v>155</v>
      </c>
      <c r="B160" s="8">
        <v>1</v>
      </c>
      <c r="C160" s="9" t="str">
        <f t="shared" si="15"/>
        <v>2550x85185fe3A4e36079818Ba1d12705A9B6898997040xa60AdD2af71a4f50b3F94509E71a1e9DbDeA5dDa1078221unidade1620027</v>
      </c>
      <c r="D160" s="13" t="s">
        <v>222</v>
      </c>
      <c r="E160" s="8" t="s">
        <v>1114</v>
      </c>
      <c r="F160" s="8">
        <f t="shared" si="14"/>
        <v>0</v>
      </c>
      <c r="G160" s="8">
        <f t="shared" si="14"/>
        <v>0</v>
      </c>
      <c r="H160" s="8">
        <f t="shared" si="14"/>
        <v>4</v>
      </c>
      <c r="I160" s="8">
        <f t="shared" si="14"/>
        <v>2</v>
      </c>
      <c r="J160" s="8">
        <f t="shared" si="13"/>
        <v>4</v>
      </c>
      <c r="K160" s="15">
        <v>0</v>
      </c>
      <c r="M160" s="8">
        <f t="shared" si="16"/>
        <v>255</v>
      </c>
      <c r="N160" s="9" t="s">
        <v>63</v>
      </c>
      <c r="O160" s="9" t="s">
        <v>16</v>
      </c>
      <c r="P160" s="9">
        <v>1078</v>
      </c>
      <c r="Q160" s="9">
        <v>221</v>
      </c>
      <c r="R160" s="8" t="s">
        <v>17</v>
      </c>
      <c r="S160" s="11">
        <v>162</v>
      </c>
      <c r="T160" s="10">
        <v>0.27</v>
      </c>
    </row>
    <row r="161" spans="1:20" x14ac:dyDescent="0.3">
      <c r="A161" s="7">
        <f t="shared" si="17"/>
        <v>156</v>
      </c>
      <c r="B161" s="8">
        <v>222</v>
      </c>
      <c r="C161" s="9" t="str">
        <f t="shared" si="15"/>
        <v>2560x85185fe3A4e36079818Ba1d12705A9B6898997040xa60AdD2af71a4f50b3F94509E71a1e9DbDeA5dDa1972227unidade2320027</v>
      </c>
      <c r="D161" s="13" t="s">
        <v>223</v>
      </c>
      <c r="E161" s="8" t="s">
        <v>1115</v>
      </c>
      <c r="F161" s="8">
        <f t="shared" si="14"/>
        <v>0</v>
      </c>
      <c r="G161" s="8">
        <f t="shared" si="14"/>
        <v>0</v>
      </c>
      <c r="H161" s="8">
        <f t="shared" si="14"/>
        <v>5</v>
      </c>
      <c r="I161" s="8">
        <f t="shared" si="14"/>
        <v>2</v>
      </c>
      <c r="J161" s="8">
        <f t="shared" si="13"/>
        <v>5</v>
      </c>
      <c r="K161" s="15">
        <v>5.7870369346346706E-5</v>
      </c>
      <c r="M161" s="8">
        <f t="shared" si="16"/>
        <v>256</v>
      </c>
      <c r="N161" s="9" t="s">
        <v>63</v>
      </c>
      <c r="O161" s="9" t="s">
        <v>16</v>
      </c>
      <c r="P161" s="9">
        <v>1972</v>
      </c>
      <c r="Q161" s="9">
        <v>227</v>
      </c>
      <c r="R161" s="8" t="s">
        <v>17</v>
      </c>
      <c r="S161" s="11">
        <v>232</v>
      </c>
      <c r="T161" s="10">
        <v>0.27</v>
      </c>
    </row>
    <row r="162" spans="1:20" x14ac:dyDescent="0.3">
      <c r="A162" s="7">
        <f t="shared" si="17"/>
        <v>157</v>
      </c>
      <c r="B162" s="8">
        <v>87</v>
      </c>
      <c r="C162" s="9" t="str">
        <f t="shared" si="15"/>
        <v>2570x85185fe3A4e36079818Ba1d12705A9B6898997040xa60AdD2af71a4f50b3F94509E71a1e9DbDeA5dDa1438240unidade1800027</v>
      </c>
      <c r="D162" s="13" t="s">
        <v>224</v>
      </c>
      <c r="E162" s="8" t="s">
        <v>1116</v>
      </c>
      <c r="F162" s="8">
        <f t="shared" si="14"/>
        <v>0</v>
      </c>
      <c r="G162" s="8">
        <f t="shared" si="14"/>
        <v>0</v>
      </c>
      <c r="H162" s="8">
        <f t="shared" si="14"/>
        <v>1</v>
      </c>
      <c r="I162" s="8">
        <f t="shared" si="14"/>
        <v>6</v>
      </c>
      <c r="J162" s="8">
        <f t="shared" si="13"/>
        <v>1</v>
      </c>
      <c r="K162" s="15">
        <v>2.3148153559304774E-5</v>
      </c>
      <c r="M162" s="8">
        <f t="shared" si="16"/>
        <v>257</v>
      </c>
      <c r="N162" s="9" t="s">
        <v>63</v>
      </c>
      <c r="O162" s="9" t="s">
        <v>16</v>
      </c>
      <c r="P162" s="9">
        <v>1438</v>
      </c>
      <c r="Q162" s="9">
        <v>240</v>
      </c>
      <c r="R162" s="8" t="s">
        <v>17</v>
      </c>
      <c r="S162" s="11">
        <v>180</v>
      </c>
      <c r="T162" s="10">
        <v>0.27</v>
      </c>
    </row>
    <row r="163" spans="1:20" x14ac:dyDescent="0.3">
      <c r="A163" s="7">
        <f t="shared" si="17"/>
        <v>158</v>
      </c>
      <c r="B163" s="8">
        <v>224</v>
      </c>
      <c r="C163" s="9" t="str">
        <f t="shared" si="15"/>
        <v>2580x85185fe3A4e36079818Ba1d12705A9B6898997040xa60AdD2af71a4f50b3F94509E71a1e9DbDeA5dDa1235152unidade790027</v>
      </c>
      <c r="D163" s="13" t="s">
        <v>225</v>
      </c>
      <c r="E163" s="8" t="s">
        <v>1117</v>
      </c>
      <c r="F163" s="8">
        <f t="shared" si="14"/>
        <v>0</v>
      </c>
      <c r="G163" s="8">
        <f t="shared" si="14"/>
        <v>0</v>
      </c>
      <c r="H163" s="8">
        <f t="shared" si="14"/>
        <v>4</v>
      </c>
      <c r="I163" s="8">
        <f t="shared" si="14"/>
        <v>1</v>
      </c>
      <c r="J163" s="8">
        <f t="shared" si="13"/>
        <v>4</v>
      </c>
      <c r="K163" s="15">
        <v>5.7870369346346706E-5</v>
      </c>
      <c r="M163" s="8">
        <f t="shared" si="16"/>
        <v>258</v>
      </c>
      <c r="N163" s="9" t="s">
        <v>63</v>
      </c>
      <c r="O163" s="9" t="s">
        <v>16</v>
      </c>
      <c r="P163" s="9">
        <v>1235</v>
      </c>
      <c r="Q163" s="9">
        <v>152</v>
      </c>
      <c r="R163" s="8" t="s">
        <v>17</v>
      </c>
      <c r="S163" s="11">
        <v>79</v>
      </c>
      <c r="T163" s="10">
        <v>0.27</v>
      </c>
    </row>
    <row r="164" spans="1:20" x14ac:dyDescent="0.3">
      <c r="A164" s="7">
        <f t="shared" si="17"/>
        <v>159</v>
      </c>
      <c r="B164" s="8">
        <v>253</v>
      </c>
      <c r="C164" s="9" t="str">
        <f t="shared" si="15"/>
        <v>2590x85185fe3A4e36079818Ba1d12705A9B6898997040xa60AdD2af71a4f50b3F94509E71a1e9DbDeA5dDa1376335unidade2350027</v>
      </c>
      <c r="D164" s="13" t="s">
        <v>226</v>
      </c>
      <c r="E164" s="8" t="s">
        <v>1118</v>
      </c>
      <c r="F164" s="8">
        <f t="shared" si="14"/>
        <v>0</v>
      </c>
      <c r="G164" s="8">
        <f t="shared" si="14"/>
        <v>0</v>
      </c>
      <c r="H164" s="8">
        <f t="shared" si="14"/>
        <v>1</v>
      </c>
      <c r="I164" s="8">
        <f t="shared" si="14"/>
        <v>8</v>
      </c>
      <c r="J164" s="8">
        <f t="shared" si="13"/>
        <v>1</v>
      </c>
      <c r="K164" s="15">
        <v>5.7870369346346706E-5</v>
      </c>
      <c r="M164" s="8">
        <f t="shared" si="16"/>
        <v>259</v>
      </c>
      <c r="N164" s="9" t="s">
        <v>63</v>
      </c>
      <c r="O164" s="9" t="s">
        <v>16</v>
      </c>
      <c r="P164" s="9">
        <v>1376</v>
      </c>
      <c r="Q164" s="9">
        <v>335</v>
      </c>
      <c r="R164" s="8" t="s">
        <v>17</v>
      </c>
      <c r="S164" s="11">
        <v>235</v>
      </c>
      <c r="T164" s="10">
        <v>0.27</v>
      </c>
    </row>
    <row r="165" spans="1:20" x14ac:dyDescent="0.3">
      <c r="A165" s="7">
        <f t="shared" si="17"/>
        <v>160</v>
      </c>
      <c r="B165" s="8">
        <v>184</v>
      </c>
      <c r="C165" s="9" t="str">
        <f t="shared" si="15"/>
        <v>2600x85185fe3A4e36079818Ba1d12705A9B6898997040xa60AdD2af71a4f50b3F94509E71a1e9DbDeA5dDa1887208unidade1300027</v>
      </c>
      <c r="D165" s="13" t="s">
        <v>227</v>
      </c>
      <c r="E165" s="8" t="s">
        <v>1119</v>
      </c>
      <c r="F165" s="8">
        <f t="shared" si="14"/>
        <v>0</v>
      </c>
      <c r="G165" s="8">
        <f t="shared" si="14"/>
        <v>0</v>
      </c>
      <c r="H165" s="8">
        <f t="shared" si="14"/>
        <v>4</v>
      </c>
      <c r="I165" s="8">
        <f t="shared" si="14"/>
        <v>1</v>
      </c>
      <c r="J165" s="8">
        <f t="shared" si="13"/>
        <v>4</v>
      </c>
      <c r="K165" s="15">
        <v>4.6296299842651933E-5</v>
      </c>
      <c r="M165" s="8">
        <f t="shared" si="16"/>
        <v>260</v>
      </c>
      <c r="N165" s="9" t="s">
        <v>63</v>
      </c>
      <c r="O165" s="9" t="s">
        <v>16</v>
      </c>
      <c r="P165" s="9">
        <v>1887</v>
      </c>
      <c r="Q165" s="9">
        <v>208</v>
      </c>
      <c r="R165" s="8" t="s">
        <v>17</v>
      </c>
      <c r="S165" s="11">
        <v>130</v>
      </c>
      <c r="T165" s="10">
        <v>0.27</v>
      </c>
    </row>
    <row r="166" spans="1:20" x14ac:dyDescent="0.3">
      <c r="A166" s="7">
        <f t="shared" si="17"/>
        <v>161</v>
      </c>
      <c r="B166" s="8">
        <v>129</v>
      </c>
      <c r="C166" s="9" t="str">
        <f t="shared" si="15"/>
        <v>2610x85185fe3A4e36079818Ba1d12705A9B6898997040xa60AdD2af71a4f50b3F94509E71a1e9DbDeA5dDa1461341unidade780027</v>
      </c>
      <c r="D166" s="13" t="s">
        <v>228</v>
      </c>
      <c r="E166" s="8" t="s">
        <v>1120</v>
      </c>
      <c r="F166" s="8">
        <f t="shared" si="14"/>
        <v>0</v>
      </c>
      <c r="G166" s="8">
        <f t="shared" si="14"/>
        <v>0</v>
      </c>
      <c r="H166" s="8">
        <f t="shared" si="14"/>
        <v>9</v>
      </c>
      <c r="I166" s="8">
        <f t="shared" si="14"/>
        <v>8</v>
      </c>
      <c r="J166" s="8">
        <f t="shared" si="13"/>
        <v>9</v>
      </c>
      <c r="K166" s="15">
        <v>3.4722215787041932E-5</v>
      </c>
      <c r="M166" s="8">
        <f t="shared" si="16"/>
        <v>261</v>
      </c>
      <c r="N166" s="9" t="s">
        <v>63</v>
      </c>
      <c r="O166" s="9" t="s">
        <v>16</v>
      </c>
      <c r="P166" s="9">
        <v>1461</v>
      </c>
      <c r="Q166" s="9">
        <v>341</v>
      </c>
      <c r="R166" s="8" t="s">
        <v>17</v>
      </c>
      <c r="S166" s="11">
        <v>78</v>
      </c>
      <c r="T166" s="10">
        <v>0.27</v>
      </c>
    </row>
    <row r="167" spans="1:20" x14ac:dyDescent="0.3">
      <c r="A167" s="7">
        <f t="shared" si="17"/>
        <v>162</v>
      </c>
      <c r="B167" s="8">
        <v>12</v>
      </c>
      <c r="C167" s="9" t="str">
        <f t="shared" si="15"/>
        <v>2620x85185fe3A4e36079818Ba1d12705A9B6898997040xa60AdD2af71a4f50b3F94509E71a1e9DbDeA5dDa1641486unidade2470027</v>
      </c>
      <c r="D167" s="13" t="s">
        <v>229</v>
      </c>
      <c r="E167" s="8" t="s">
        <v>1121</v>
      </c>
      <c r="F167" s="8">
        <f t="shared" si="14"/>
        <v>0</v>
      </c>
      <c r="G167" s="8">
        <f t="shared" si="14"/>
        <v>0</v>
      </c>
      <c r="H167" s="8">
        <f t="shared" si="14"/>
        <v>8</v>
      </c>
      <c r="I167" s="8">
        <f t="shared" si="14"/>
        <v>1</v>
      </c>
      <c r="J167" s="8">
        <f t="shared" si="13"/>
        <v>8</v>
      </c>
      <c r="K167" s="15">
        <v>1.1574076779652387E-5</v>
      </c>
      <c r="M167" s="8">
        <f t="shared" si="16"/>
        <v>262</v>
      </c>
      <c r="N167" s="9" t="s">
        <v>63</v>
      </c>
      <c r="O167" s="9" t="s">
        <v>16</v>
      </c>
      <c r="P167" s="9">
        <v>1641</v>
      </c>
      <c r="Q167" s="9">
        <v>486</v>
      </c>
      <c r="R167" s="8" t="s">
        <v>17</v>
      </c>
      <c r="S167" s="11">
        <v>247</v>
      </c>
      <c r="T167" s="10">
        <v>0.27</v>
      </c>
    </row>
    <row r="168" spans="1:20" x14ac:dyDescent="0.3">
      <c r="A168" s="7">
        <f t="shared" si="17"/>
        <v>163</v>
      </c>
      <c r="B168" s="8">
        <v>217</v>
      </c>
      <c r="C168" s="9" t="str">
        <f t="shared" si="15"/>
        <v>2630x85185fe3A4e36079818Ba1d12705A9B6898997040xa60AdD2af71a4f50b3F94509E71a1e9DbDeA5dDa1894286unidade1770027</v>
      </c>
      <c r="D168" s="13" t="s">
        <v>230</v>
      </c>
      <c r="E168" s="8" t="s">
        <v>1122</v>
      </c>
      <c r="F168" s="8">
        <f t="shared" si="14"/>
        <v>0</v>
      </c>
      <c r="G168" s="8">
        <f t="shared" si="14"/>
        <v>0</v>
      </c>
      <c r="H168" s="8">
        <f t="shared" si="14"/>
        <v>1</v>
      </c>
      <c r="I168" s="8">
        <f t="shared" si="14"/>
        <v>7</v>
      </c>
      <c r="J168" s="8">
        <f t="shared" si="13"/>
        <v>1</v>
      </c>
      <c r="K168" s="15">
        <v>4.6296299842651933E-5</v>
      </c>
      <c r="M168" s="8">
        <f t="shared" si="16"/>
        <v>263</v>
      </c>
      <c r="N168" s="9" t="s">
        <v>63</v>
      </c>
      <c r="O168" s="9" t="s">
        <v>16</v>
      </c>
      <c r="P168" s="9">
        <v>1894</v>
      </c>
      <c r="Q168" s="9">
        <v>286</v>
      </c>
      <c r="R168" s="8" t="s">
        <v>17</v>
      </c>
      <c r="S168" s="11">
        <v>177</v>
      </c>
      <c r="T168" s="10">
        <v>0.27</v>
      </c>
    </row>
    <row r="169" spans="1:20" x14ac:dyDescent="0.3">
      <c r="A169" s="7">
        <f t="shared" si="17"/>
        <v>164</v>
      </c>
      <c r="B169" s="8">
        <v>130</v>
      </c>
      <c r="C169" s="9" t="str">
        <f t="shared" si="15"/>
        <v>2640x85185fe3A4e36079818Ba1d12705A9B6898997040xa60AdD2af71a4f50b3F94509E71a1e9DbDeA5dDa1146469unidade2490027</v>
      </c>
      <c r="D169" s="13" t="s">
        <v>231</v>
      </c>
      <c r="E169" s="8" t="s">
        <v>1123</v>
      </c>
      <c r="F169" s="8">
        <f t="shared" si="14"/>
        <v>0</v>
      </c>
      <c r="G169" s="8">
        <f t="shared" si="14"/>
        <v>0</v>
      </c>
      <c r="H169" s="8">
        <f t="shared" si="14"/>
        <v>1</v>
      </c>
      <c r="I169" s="8">
        <f t="shared" si="14"/>
        <v>1</v>
      </c>
      <c r="J169" s="8">
        <f t="shared" si="13"/>
        <v>1</v>
      </c>
      <c r="K169" s="15">
        <v>2.314814628334716E-5</v>
      </c>
      <c r="M169" s="8">
        <f t="shared" si="16"/>
        <v>264</v>
      </c>
      <c r="N169" s="9" t="s">
        <v>63</v>
      </c>
      <c r="O169" s="9" t="s">
        <v>16</v>
      </c>
      <c r="P169" s="9">
        <v>1146</v>
      </c>
      <c r="Q169" s="9">
        <v>469</v>
      </c>
      <c r="R169" s="8" t="s">
        <v>17</v>
      </c>
      <c r="S169" s="11">
        <v>249</v>
      </c>
      <c r="T169" s="10">
        <v>0.27</v>
      </c>
    </row>
    <row r="170" spans="1:20" x14ac:dyDescent="0.3">
      <c r="A170" s="7">
        <f t="shared" si="17"/>
        <v>165</v>
      </c>
      <c r="B170" s="8">
        <v>499</v>
      </c>
      <c r="C170" s="9" t="str">
        <f t="shared" si="15"/>
        <v>2650x85185fe3A4e36079818Ba1d12705A9B6898997040xa60AdD2af71a4f50b3F94509E71a1e9DbDeA5dDa1603363unidade2230027</v>
      </c>
      <c r="D170" s="13" t="s">
        <v>232</v>
      </c>
      <c r="E170" s="8" t="s">
        <v>1124</v>
      </c>
      <c r="F170" s="8">
        <f t="shared" si="14"/>
        <v>0</v>
      </c>
      <c r="G170" s="8">
        <f t="shared" si="14"/>
        <v>0</v>
      </c>
      <c r="H170" s="8">
        <f t="shared" si="14"/>
        <v>9</v>
      </c>
      <c r="I170" s="8">
        <f t="shared" ref="F170:L233" si="18">IFERROR(VALUE(MID($E170,I$1,1)),1)</f>
        <v>1</v>
      </c>
      <c r="J170" s="8">
        <f t="shared" ref="J170:J233" si="19">SUM(F170:H170)</f>
        <v>9</v>
      </c>
      <c r="K170" s="15">
        <v>1.273148154723458E-4</v>
      </c>
      <c r="M170" s="8">
        <f t="shared" si="16"/>
        <v>265</v>
      </c>
      <c r="N170" s="9" t="s">
        <v>63</v>
      </c>
      <c r="O170" s="9" t="s">
        <v>16</v>
      </c>
      <c r="P170" s="9">
        <v>1603</v>
      </c>
      <c r="Q170" s="9">
        <v>363</v>
      </c>
      <c r="R170" s="8" t="s">
        <v>17</v>
      </c>
      <c r="S170" s="11">
        <v>223</v>
      </c>
      <c r="T170" s="10">
        <v>0.27</v>
      </c>
    </row>
    <row r="171" spans="1:20" x14ac:dyDescent="0.3">
      <c r="A171" s="7">
        <f t="shared" si="17"/>
        <v>166</v>
      </c>
      <c r="B171" s="8">
        <v>513</v>
      </c>
      <c r="C171" s="9" t="str">
        <f t="shared" si="15"/>
        <v>2660x85185fe3A4e36079818Ba1d12705A9B6898997040xa60AdD2af71a4f50b3F94509E71a1e9DbDeA5dDa1268306unidade1540027</v>
      </c>
      <c r="D171" s="13" t="s">
        <v>233</v>
      </c>
      <c r="E171" s="8" t="s">
        <v>1125</v>
      </c>
      <c r="F171" s="8">
        <f t="shared" si="18"/>
        <v>0</v>
      </c>
      <c r="G171" s="8">
        <f t="shared" si="18"/>
        <v>0</v>
      </c>
      <c r="H171" s="8">
        <f t="shared" si="18"/>
        <v>2</v>
      </c>
      <c r="I171" s="8">
        <f t="shared" si="18"/>
        <v>3</v>
      </c>
      <c r="J171" s="8">
        <f t="shared" si="19"/>
        <v>2</v>
      </c>
      <c r="K171" s="15">
        <v>1.273148154723458E-4</v>
      </c>
      <c r="M171" s="8">
        <f t="shared" si="16"/>
        <v>266</v>
      </c>
      <c r="N171" s="9" t="s">
        <v>63</v>
      </c>
      <c r="O171" s="9" t="s">
        <v>16</v>
      </c>
      <c r="P171" s="9">
        <v>1268</v>
      </c>
      <c r="Q171" s="9">
        <v>306</v>
      </c>
      <c r="R171" s="8" t="s">
        <v>17</v>
      </c>
      <c r="S171" s="11">
        <v>154</v>
      </c>
      <c r="T171" s="10">
        <v>0.27</v>
      </c>
    </row>
    <row r="172" spans="1:20" x14ac:dyDescent="0.3">
      <c r="A172" s="7">
        <f t="shared" si="17"/>
        <v>167</v>
      </c>
      <c r="B172" s="8">
        <v>203</v>
      </c>
      <c r="C172" s="9" t="str">
        <f t="shared" si="15"/>
        <v>2670x85185fe3A4e36079818Ba1d12705A9B6898997040xa60AdD2af71a4f50b3F94509E71a1e9DbDeA5dDa1951464unidade1710027</v>
      </c>
      <c r="D172" s="13" t="s">
        <v>234</v>
      </c>
      <c r="E172" s="8" t="s">
        <v>1126</v>
      </c>
      <c r="F172" s="8">
        <f t="shared" si="18"/>
        <v>0</v>
      </c>
      <c r="G172" s="8">
        <f t="shared" si="18"/>
        <v>0</v>
      </c>
      <c r="H172" s="8">
        <f t="shared" si="18"/>
        <v>2</v>
      </c>
      <c r="I172" s="8">
        <f t="shared" si="18"/>
        <v>2</v>
      </c>
      <c r="J172" s="8">
        <f t="shared" si="19"/>
        <v>2</v>
      </c>
      <c r="K172" s="15">
        <v>5.7870369346346706E-5</v>
      </c>
      <c r="M172" s="8">
        <f t="shared" si="16"/>
        <v>267</v>
      </c>
      <c r="N172" s="9" t="s">
        <v>63</v>
      </c>
      <c r="O172" s="9" t="s">
        <v>16</v>
      </c>
      <c r="P172" s="9">
        <v>1951</v>
      </c>
      <c r="Q172" s="9">
        <v>464</v>
      </c>
      <c r="R172" s="8" t="s">
        <v>17</v>
      </c>
      <c r="S172" s="11">
        <v>171</v>
      </c>
      <c r="T172" s="10">
        <v>0.27</v>
      </c>
    </row>
    <row r="173" spans="1:20" x14ac:dyDescent="0.3">
      <c r="A173" s="7">
        <f t="shared" si="17"/>
        <v>168</v>
      </c>
      <c r="B173" s="8">
        <v>556</v>
      </c>
      <c r="C173" s="9" t="str">
        <f t="shared" si="15"/>
        <v>2680x85185fe3A4e36079818Ba1d12705A9B6898997040xa60AdD2af71a4f50b3F94509E71a1e9DbDeA5dDa1003105unidade1380027</v>
      </c>
      <c r="D173" s="13" t="s">
        <v>235</v>
      </c>
      <c r="E173" s="8" t="s">
        <v>1127</v>
      </c>
      <c r="F173" s="8">
        <f t="shared" si="18"/>
        <v>0</v>
      </c>
      <c r="G173" s="8">
        <f t="shared" si="18"/>
        <v>0</v>
      </c>
      <c r="H173" s="8">
        <f t="shared" si="18"/>
        <v>1</v>
      </c>
      <c r="I173" s="8">
        <f t="shared" si="18"/>
        <v>7</v>
      </c>
      <c r="J173" s="8">
        <f t="shared" si="19"/>
        <v>1</v>
      </c>
      <c r="K173" s="15">
        <v>1.3888889225199819E-4</v>
      </c>
      <c r="M173" s="8">
        <f t="shared" si="16"/>
        <v>268</v>
      </c>
      <c r="N173" s="9" t="s">
        <v>63</v>
      </c>
      <c r="O173" s="9" t="s">
        <v>16</v>
      </c>
      <c r="P173" s="9">
        <v>1003</v>
      </c>
      <c r="Q173" s="9">
        <v>105</v>
      </c>
      <c r="R173" s="8" t="s">
        <v>17</v>
      </c>
      <c r="S173" s="11">
        <v>138</v>
      </c>
      <c r="T173" s="10">
        <v>0.27</v>
      </c>
    </row>
    <row r="174" spans="1:20" x14ac:dyDescent="0.3">
      <c r="A174" s="7">
        <f t="shared" si="17"/>
        <v>169</v>
      </c>
      <c r="B174" s="8">
        <v>95</v>
      </c>
      <c r="C174" s="9" t="str">
        <f t="shared" si="15"/>
        <v>2690x85185fe3A4e36079818Ba1d12705A9B6898997040xa60AdD2af71a4f50b3F94509E71a1e9DbDeA5dDa1902286unidade2310027</v>
      </c>
      <c r="D174" s="13" t="s">
        <v>236</v>
      </c>
      <c r="E174" s="8" t="s">
        <v>1128</v>
      </c>
      <c r="F174" s="8">
        <f t="shared" si="18"/>
        <v>0</v>
      </c>
      <c r="G174" s="8">
        <f t="shared" si="18"/>
        <v>0</v>
      </c>
      <c r="H174" s="8">
        <f t="shared" si="18"/>
        <v>1</v>
      </c>
      <c r="I174" s="8">
        <f t="shared" si="18"/>
        <v>0</v>
      </c>
      <c r="J174" s="8">
        <f t="shared" si="19"/>
        <v>1</v>
      </c>
      <c r="K174" s="15">
        <v>2.314814628334716E-5</v>
      </c>
      <c r="M174" s="8">
        <f t="shared" si="16"/>
        <v>269</v>
      </c>
      <c r="N174" s="9" t="s">
        <v>63</v>
      </c>
      <c r="O174" s="9" t="s">
        <v>16</v>
      </c>
      <c r="P174" s="9">
        <v>1902</v>
      </c>
      <c r="Q174" s="9">
        <v>286</v>
      </c>
      <c r="R174" s="8" t="s">
        <v>17</v>
      </c>
      <c r="S174" s="11">
        <v>231</v>
      </c>
      <c r="T174" s="10">
        <v>0.27</v>
      </c>
    </row>
    <row r="175" spans="1:20" x14ac:dyDescent="0.3">
      <c r="A175" s="7">
        <f t="shared" si="17"/>
        <v>170</v>
      </c>
      <c r="B175" s="8">
        <v>63</v>
      </c>
      <c r="C175" s="9" t="str">
        <f t="shared" si="15"/>
        <v>2700x85185fe3A4e36079818Ba1d12705A9B6898997040xa60AdD2af71a4f50b3F94509E71a1e9DbDeA5dDa1434426unidade2170027</v>
      </c>
      <c r="D175" s="13" t="s">
        <v>237</v>
      </c>
      <c r="E175" s="8" t="s">
        <v>1129</v>
      </c>
      <c r="F175" s="8">
        <f t="shared" si="18"/>
        <v>0</v>
      </c>
      <c r="G175" s="8">
        <f t="shared" si="18"/>
        <v>0</v>
      </c>
      <c r="H175" s="8">
        <f t="shared" si="18"/>
        <v>1</v>
      </c>
      <c r="I175" s="8">
        <f t="shared" si="18"/>
        <v>1</v>
      </c>
      <c r="J175" s="8">
        <f t="shared" si="19"/>
        <v>1</v>
      </c>
      <c r="K175" s="15">
        <v>1.1574069503694773E-5</v>
      </c>
      <c r="M175" s="8">
        <f t="shared" si="16"/>
        <v>270</v>
      </c>
      <c r="N175" s="9" t="s">
        <v>63</v>
      </c>
      <c r="O175" s="9" t="s">
        <v>16</v>
      </c>
      <c r="P175" s="9">
        <v>1434</v>
      </c>
      <c r="Q175" s="9">
        <v>426</v>
      </c>
      <c r="R175" s="8" t="s">
        <v>17</v>
      </c>
      <c r="S175" s="11">
        <v>217</v>
      </c>
      <c r="T175" s="10">
        <v>0.27</v>
      </c>
    </row>
    <row r="176" spans="1:20" x14ac:dyDescent="0.3">
      <c r="A176" s="7">
        <f t="shared" si="17"/>
        <v>171</v>
      </c>
      <c r="B176" s="8">
        <v>60</v>
      </c>
      <c r="C176" s="9" t="str">
        <f t="shared" si="15"/>
        <v>2710x85185fe3A4e36079818Ba1d12705A9B6898997040xa60AdD2af71a4f50b3F94509E71a1e9DbDeA5dDa1519434unidade820027</v>
      </c>
      <c r="D176" s="13" t="s">
        <v>238</v>
      </c>
      <c r="E176" s="8" t="s">
        <v>1130</v>
      </c>
      <c r="F176" s="8">
        <f t="shared" si="18"/>
        <v>0</v>
      </c>
      <c r="G176" s="8">
        <f t="shared" si="18"/>
        <v>0</v>
      </c>
      <c r="H176" s="8">
        <f t="shared" si="18"/>
        <v>8</v>
      </c>
      <c r="I176" s="8">
        <f t="shared" si="18"/>
        <v>3</v>
      </c>
      <c r="J176" s="8">
        <f t="shared" si="19"/>
        <v>8</v>
      </c>
      <c r="K176" s="15">
        <v>2.3148153559304774E-5</v>
      </c>
      <c r="M176" s="8">
        <f t="shared" si="16"/>
        <v>271</v>
      </c>
      <c r="N176" s="9" t="s">
        <v>63</v>
      </c>
      <c r="O176" s="9" t="s">
        <v>16</v>
      </c>
      <c r="P176" s="9">
        <v>1519</v>
      </c>
      <c r="Q176" s="9">
        <v>434</v>
      </c>
      <c r="R176" s="8" t="s">
        <v>17</v>
      </c>
      <c r="S176" s="11">
        <v>82</v>
      </c>
      <c r="T176" s="10">
        <v>0.27</v>
      </c>
    </row>
    <row r="177" spans="1:20" x14ac:dyDescent="0.3">
      <c r="A177" s="7">
        <f t="shared" si="17"/>
        <v>172</v>
      </c>
      <c r="B177" s="8">
        <v>337</v>
      </c>
      <c r="C177" s="9" t="str">
        <f t="shared" si="15"/>
        <v>2720x85185fe3A4e36079818Ba1d12705A9B6898997040xa60AdD2af71a4f50b3F94509E71a1e9DbDeA5dDa1531371unidade1280027</v>
      </c>
      <c r="D177" s="13" t="s">
        <v>239</v>
      </c>
      <c r="E177" s="8" t="s">
        <v>639</v>
      </c>
      <c r="F177" s="8">
        <f t="shared" si="18"/>
        <v>0</v>
      </c>
      <c r="G177" s="8">
        <f t="shared" si="18"/>
        <v>0</v>
      </c>
      <c r="H177" s="8">
        <f t="shared" si="18"/>
        <v>0</v>
      </c>
      <c r="I177" s="8">
        <f t="shared" si="18"/>
        <v>5</v>
      </c>
      <c r="J177" s="8">
        <f t="shared" si="19"/>
        <v>0</v>
      </c>
      <c r="K177" s="15">
        <v>8.1018515629693866E-5</v>
      </c>
      <c r="M177" s="8">
        <f t="shared" si="16"/>
        <v>272</v>
      </c>
      <c r="N177" s="9" t="s">
        <v>63</v>
      </c>
      <c r="O177" s="9" t="s">
        <v>16</v>
      </c>
      <c r="P177" s="9">
        <v>1531</v>
      </c>
      <c r="Q177" s="9">
        <v>371</v>
      </c>
      <c r="R177" s="8" t="s">
        <v>17</v>
      </c>
      <c r="S177" s="11">
        <v>128</v>
      </c>
      <c r="T177" s="10">
        <v>0.27</v>
      </c>
    </row>
    <row r="178" spans="1:20" x14ac:dyDescent="0.3">
      <c r="A178" s="7">
        <f t="shared" si="17"/>
        <v>173</v>
      </c>
      <c r="B178" s="8">
        <v>21</v>
      </c>
      <c r="C178" s="9" t="str">
        <f t="shared" si="15"/>
        <v>2730x85185fe3A4e36079818Ba1d12705A9B6898997040xa60AdD2af71a4f50b3F94509E71a1e9DbDeA5dDa1194386unidade1550027</v>
      </c>
      <c r="D178" s="13" t="s">
        <v>240</v>
      </c>
      <c r="E178" s="8" t="s">
        <v>1131</v>
      </c>
      <c r="F178" s="8">
        <f t="shared" si="18"/>
        <v>0</v>
      </c>
      <c r="G178" s="8">
        <f t="shared" si="18"/>
        <v>0</v>
      </c>
      <c r="H178" s="8">
        <f t="shared" si="18"/>
        <v>1</v>
      </c>
      <c r="I178" s="8">
        <f t="shared" si="18"/>
        <v>4</v>
      </c>
      <c r="J178" s="8">
        <f t="shared" si="19"/>
        <v>1</v>
      </c>
      <c r="K178" s="15">
        <v>1.1574076779652387E-5</v>
      </c>
      <c r="M178" s="8">
        <f t="shared" si="16"/>
        <v>273</v>
      </c>
      <c r="N178" s="9" t="s">
        <v>63</v>
      </c>
      <c r="O178" s="9" t="s">
        <v>16</v>
      </c>
      <c r="P178" s="9">
        <v>1194</v>
      </c>
      <c r="Q178" s="9">
        <v>386</v>
      </c>
      <c r="R178" s="8" t="s">
        <v>17</v>
      </c>
      <c r="S178" s="11">
        <v>155</v>
      </c>
      <c r="T178" s="10">
        <v>0.27</v>
      </c>
    </row>
    <row r="179" spans="1:20" x14ac:dyDescent="0.3">
      <c r="A179" s="7">
        <f t="shared" si="17"/>
        <v>174</v>
      </c>
      <c r="B179" s="8">
        <v>390</v>
      </c>
      <c r="C179" s="9" t="str">
        <f t="shared" si="15"/>
        <v>2740x85185fe3A4e36079818Ba1d12705A9B6898997040xa60AdD2af71a4f50b3F94509E71a1e9DbDeA5dDa1027251unidade1690027</v>
      </c>
      <c r="D179" s="13" t="s">
        <v>241</v>
      </c>
      <c r="E179" s="8" t="s">
        <v>1132</v>
      </c>
      <c r="F179" s="8">
        <f t="shared" si="18"/>
        <v>0</v>
      </c>
      <c r="G179" s="8">
        <f t="shared" si="18"/>
        <v>0</v>
      </c>
      <c r="H179" s="8">
        <f t="shared" si="18"/>
        <v>1</v>
      </c>
      <c r="I179" s="8">
        <f t="shared" si="18"/>
        <v>9</v>
      </c>
      <c r="J179" s="8">
        <f t="shared" si="19"/>
        <v>1</v>
      </c>
      <c r="K179" s="15">
        <v>1.0416666191304103E-4</v>
      </c>
      <c r="M179" s="8">
        <f t="shared" si="16"/>
        <v>274</v>
      </c>
      <c r="N179" s="9" t="s">
        <v>63</v>
      </c>
      <c r="O179" s="9" t="s">
        <v>16</v>
      </c>
      <c r="P179" s="9">
        <v>1027</v>
      </c>
      <c r="Q179" s="9">
        <v>251</v>
      </c>
      <c r="R179" s="8" t="s">
        <v>17</v>
      </c>
      <c r="S179" s="11">
        <v>169</v>
      </c>
      <c r="T179" s="10">
        <v>0.27</v>
      </c>
    </row>
    <row r="180" spans="1:20" x14ac:dyDescent="0.3">
      <c r="A180" s="7">
        <f t="shared" si="17"/>
        <v>175</v>
      </c>
      <c r="B180" s="8">
        <v>489</v>
      </c>
      <c r="C180" s="9" t="str">
        <f t="shared" si="15"/>
        <v>2750x85185fe3A4e36079818Ba1d12705A9B6898997040xa60AdD2af71a4f50b3F94509E71a1e9DbDeA5dDa1209108unidade990027</v>
      </c>
      <c r="D180" s="13" t="s">
        <v>242</v>
      </c>
      <c r="E180" s="8" t="s">
        <v>1133</v>
      </c>
      <c r="F180" s="8">
        <f t="shared" si="18"/>
        <v>0</v>
      </c>
      <c r="G180" s="8">
        <f t="shared" si="18"/>
        <v>0</v>
      </c>
      <c r="H180" s="8">
        <f t="shared" si="18"/>
        <v>6</v>
      </c>
      <c r="I180" s="8">
        <f t="shared" si="18"/>
        <v>1</v>
      </c>
      <c r="J180" s="8">
        <f t="shared" si="19"/>
        <v>6</v>
      </c>
      <c r="K180" s="15">
        <v>1.1574074596865103E-4</v>
      </c>
      <c r="M180" s="8">
        <f t="shared" si="16"/>
        <v>275</v>
      </c>
      <c r="N180" s="9" t="s">
        <v>63</v>
      </c>
      <c r="O180" s="9" t="s">
        <v>16</v>
      </c>
      <c r="P180" s="9">
        <v>1209</v>
      </c>
      <c r="Q180" s="9">
        <v>108</v>
      </c>
      <c r="R180" s="8" t="s">
        <v>17</v>
      </c>
      <c r="S180" s="11">
        <v>99</v>
      </c>
      <c r="T180" s="10">
        <v>0.27</v>
      </c>
    </row>
    <row r="181" spans="1:20" x14ac:dyDescent="0.3">
      <c r="A181" s="7">
        <f t="shared" si="17"/>
        <v>176</v>
      </c>
      <c r="B181" s="8">
        <v>73</v>
      </c>
      <c r="C181" s="9" t="str">
        <f t="shared" si="15"/>
        <v>2760x85185fe3A4e36079818Ba1d12705A9B6898997040xa60AdD2af71a4f50b3F94509E71a1e9DbDeA5dDa1059455unidade860027</v>
      </c>
      <c r="D181" s="13" t="s">
        <v>243</v>
      </c>
      <c r="E181" s="8" t="s">
        <v>1134</v>
      </c>
      <c r="F181" s="8">
        <f t="shared" si="18"/>
        <v>0</v>
      </c>
      <c r="G181" s="8">
        <f t="shared" si="18"/>
        <v>0</v>
      </c>
      <c r="H181" s="8">
        <f t="shared" si="18"/>
        <v>1</v>
      </c>
      <c r="I181" s="8">
        <f t="shared" si="18"/>
        <v>0</v>
      </c>
      <c r="J181" s="8">
        <f t="shared" si="19"/>
        <v>1</v>
      </c>
      <c r="K181" s="15">
        <v>2.314814628334716E-5</v>
      </c>
      <c r="M181" s="8">
        <f t="shared" si="16"/>
        <v>276</v>
      </c>
      <c r="N181" s="9" t="s">
        <v>63</v>
      </c>
      <c r="O181" s="9" t="s">
        <v>16</v>
      </c>
      <c r="P181" s="9">
        <v>1059</v>
      </c>
      <c r="Q181" s="9">
        <v>455</v>
      </c>
      <c r="R181" s="8" t="s">
        <v>17</v>
      </c>
      <c r="S181" s="11">
        <v>86</v>
      </c>
      <c r="T181" s="10">
        <v>0.27</v>
      </c>
    </row>
    <row r="182" spans="1:20" x14ac:dyDescent="0.3">
      <c r="A182" s="7">
        <f t="shared" si="17"/>
        <v>177</v>
      </c>
      <c r="B182" s="8">
        <v>466</v>
      </c>
      <c r="C182" s="9" t="str">
        <f t="shared" si="15"/>
        <v>2770x85185fe3A4e36079818Ba1d12705A9B6898997040xa60AdD2af71a4f50b3F94509E71a1e9DbDeA5dDa1497366unidade2070027</v>
      </c>
      <c r="D182" s="13" t="s">
        <v>244</v>
      </c>
      <c r="E182" s="8" t="s">
        <v>1135</v>
      </c>
      <c r="F182" s="8">
        <f t="shared" si="18"/>
        <v>0</v>
      </c>
      <c r="G182" s="8">
        <f t="shared" si="18"/>
        <v>0</v>
      </c>
      <c r="H182" s="8">
        <f t="shared" si="18"/>
        <v>6</v>
      </c>
      <c r="I182" s="8">
        <f t="shared" si="18"/>
        <v>9</v>
      </c>
      <c r="J182" s="8">
        <f t="shared" si="19"/>
        <v>6</v>
      </c>
      <c r="K182" s="15">
        <v>1.1574073869269341E-4</v>
      </c>
      <c r="M182" s="8">
        <f t="shared" si="16"/>
        <v>277</v>
      </c>
      <c r="N182" s="9" t="s">
        <v>63</v>
      </c>
      <c r="O182" s="9" t="s">
        <v>16</v>
      </c>
      <c r="P182" s="9">
        <v>1497</v>
      </c>
      <c r="Q182" s="9">
        <v>366</v>
      </c>
      <c r="R182" s="8" t="s">
        <v>17</v>
      </c>
      <c r="S182" s="11">
        <v>207</v>
      </c>
      <c r="T182" s="10">
        <v>0.27</v>
      </c>
    </row>
    <row r="183" spans="1:20" x14ac:dyDescent="0.3">
      <c r="A183" s="7">
        <f t="shared" si="17"/>
        <v>178</v>
      </c>
      <c r="B183" s="8">
        <v>54</v>
      </c>
      <c r="C183" s="9" t="str">
        <f t="shared" si="15"/>
        <v>2780x85185fe3A4e36079818Ba1d12705A9B6898997040xa60AdD2af71a4f50b3F94509E71a1e9DbDeA5dDa1571447unidade1550027</v>
      </c>
      <c r="D183" s="13" t="s">
        <v>245</v>
      </c>
      <c r="E183" s="8" t="s">
        <v>1136</v>
      </c>
      <c r="F183" s="8">
        <f t="shared" si="18"/>
        <v>0</v>
      </c>
      <c r="G183" s="8">
        <f t="shared" si="18"/>
        <v>0</v>
      </c>
      <c r="H183" s="8">
        <f t="shared" si="18"/>
        <v>6</v>
      </c>
      <c r="I183" s="8">
        <f t="shared" si="18"/>
        <v>9</v>
      </c>
      <c r="J183" s="8">
        <f t="shared" si="19"/>
        <v>6</v>
      </c>
      <c r="K183" s="15">
        <v>1.1574076779652387E-5</v>
      </c>
      <c r="M183" s="8">
        <f t="shared" si="16"/>
        <v>278</v>
      </c>
      <c r="N183" s="9" t="s">
        <v>63</v>
      </c>
      <c r="O183" s="9" t="s">
        <v>16</v>
      </c>
      <c r="P183" s="9">
        <v>1571</v>
      </c>
      <c r="Q183" s="9">
        <v>447</v>
      </c>
      <c r="R183" s="8" t="s">
        <v>17</v>
      </c>
      <c r="S183" s="11">
        <v>155</v>
      </c>
      <c r="T183" s="10">
        <v>0.27</v>
      </c>
    </row>
    <row r="184" spans="1:20" x14ac:dyDescent="0.3">
      <c r="A184" s="7">
        <f t="shared" si="17"/>
        <v>179</v>
      </c>
      <c r="B184" s="8">
        <v>730</v>
      </c>
      <c r="C184" s="9" t="str">
        <f t="shared" si="15"/>
        <v>2790x85185fe3A4e36079818Ba1d12705A9B6898997040xa60AdD2af71a4f50b3F94509E71a1e9DbDeA5dDa1304480unidade800027</v>
      </c>
      <c r="D184" s="13" t="s">
        <v>246</v>
      </c>
      <c r="E184" s="8" t="s">
        <v>1137</v>
      </c>
      <c r="F184" s="8">
        <f t="shared" si="18"/>
        <v>0</v>
      </c>
      <c r="G184" s="8">
        <f t="shared" si="18"/>
        <v>0</v>
      </c>
      <c r="H184" s="8">
        <f t="shared" si="18"/>
        <v>1</v>
      </c>
      <c r="I184" s="8">
        <f t="shared" si="18"/>
        <v>0</v>
      </c>
      <c r="J184" s="8">
        <f t="shared" si="19"/>
        <v>1</v>
      </c>
      <c r="K184" s="15">
        <v>1.7361111531499773E-4</v>
      </c>
      <c r="M184" s="8">
        <f t="shared" si="16"/>
        <v>279</v>
      </c>
      <c r="N184" s="9" t="s">
        <v>63</v>
      </c>
      <c r="O184" s="9" t="s">
        <v>16</v>
      </c>
      <c r="P184" s="9">
        <v>1304</v>
      </c>
      <c r="Q184" s="9">
        <v>480</v>
      </c>
      <c r="R184" s="8" t="s">
        <v>17</v>
      </c>
      <c r="S184" s="11">
        <v>80</v>
      </c>
      <c r="T184" s="10">
        <v>0.27</v>
      </c>
    </row>
    <row r="185" spans="1:20" x14ac:dyDescent="0.3">
      <c r="A185" s="7">
        <f t="shared" si="17"/>
        <v>180</v>
      </c>
      <c r="B185" s="8">
        <v>585</v>
      </c>
      <c r="C185" s="9" t="str">
        <f t="shared" si="15"/>
        <v>2800x85185fe3A4e36079818Ba1d12705A9B6898997040xa60AdD2af71a4f50b3F94509E71a1e9DbDeA5dDa1693196unidade1490027</v>
      </c>
      <c r="D185" s="13" t="s">
        <v>247</v>
      </c>
      <c r="E185" s="8" t="s">
        <v>1138</v>
      </c>
      <c r="F185" s="8">
        <f t="shared" si="18"/>
        <v>0</v>
      </c>
      <c r="G185" s="8">
        <f t="shared" si="18"/>
        <v>0</v>
      </c>
      <c r="H185" s="8">
        <f t="shared" si="18"/>
        <v>1</v>
      </c>
      <c r="I185" s="8">
        <f t="shared" si="18"/>
        <v>5</v>
      </c>
      <c r="J185" s="8">
        <f t="shared" si="19"/>
        <v>1</v>
      </c>
      <c r="K185" s="15">
        <v>1.3888889225199819E-4</v>
      </c>
      <c r="M185" s="8">
        <f t="shared" si="16"/>
        <v>280</v>
      </c>
      <c r="N185" s="9" t="s">
        <v>63</v>
      </c>
      <c r="O185" s="9" t="s">
        <v>16</v>
      </c>
      <c r="P185" s="9">
        <v>1693</v>
      </c>
      <c r="Q185" s="9">
        <v>196</v>
      </c>
      <c r="R185" s="8" t="s">
        <v>17</v>
      </c>
      <c r="S185" s="11">
        <v>149</v>
      </c>
      <c r="T185" s="10">
        <v>0.27</v>
      </c>
    </row>
    <row r="186" spans="1:20" x14ac:dyDescent="0.3">
      <c r="A186" s="7">
        <f t="shared" si="17"/>
        <v>181</v>
      </c>
      <c r="B186" s="8">
        <v>81</v>
      </c>
      <c r="C186" s="9" t="str">
        <f t="shared" si="15"/>
        <v>2810x85185fe3A4e36079818Ba1d12705A9B6898997040xa60AdD2af71a4f50b3F94509E71a1e9DbDeA5dDa1643161unidade2440027</v>
      </c>
      <c r="D186" s="13" t="s">
        <v>248</v>
      </c>
      <c r="E186" s="8" t="s">
        <v>1139</v>
      </c>
      <c r="F186" s="8">
        <f t="shared" si="18"/>
        <v>0</v>
      </c>
      <c r="G186" s="8">
        <f t="shared" si="18"/>
        <v>0</v>
      </c>
      <c r="H186" s="8">
        <f t="shared" si="18"/>
        <v>3</v>
      </c>
      <c r="I186" s="8">
        <f t="shared" si="18"/>
        <v>3</v>
      </c>
      <c r="J186" s="8">
        <f t="shared" si="19"/>
        <v>3</v>
      </c>
      <c r="K186" s="15">
        <v>2.314814628334716E-5</v>
      </c>
      <c r="M186" s="8">
        <f t="shared" si="16"/>
        <v>281</v>
      </c>
      <c r="N186" s="9" t="s">
        <v>63</v>
      </c>
      <c r="O186" s="9" t="s">
        <v>16</v>
      </c>
      <c r="P186" s="9">
        <v>1643</v>
      </c>
      <c r="Q186" s="9">
        <v>161</v>
      </c>
      <c r="R186" s="8" t="s">
        <v>17</v>
      </c>
      <c r="S186" s="11">
        <v>244</v>
      </c>
      <c r="T186" s="10">
        <v>0.27</v>
      </c>
    </row>
    <row r="187" spans="1:20" x14ac:dyDescent="0.3">
      <c r="A187" s="7">
        <f t="shared" si="17"/>
        <v>182</v>
      </c>
      <c r="B187" s="8">
        <v>523</v>
      </c>
      <c r="C187" s="9" t="str">
        <f t="shared" si="15"/>
        <v>2820x85185fe3A4e36079818Ba1d12705A9B6898997040xa60AdD2af71a4f50b3F94509E71a1e9DbDeA5dDa1220318unidade510027</v>
      </c>
      <c r="D187" s="13" t="s">
        <v>249</v>
      </c>
      <c r="E187" s="8" t="s">
        <v>1140</v>
      </c>
      <c r="F187" s="8">
        <f t="shared" si="18"/>
        <v>0</v>
      </c>
      <c r="G187" s="8">
        <f t="shared" si="18"/>
        <v>0</v>
      </c>
      <c r="H187" s="8">
        <f t="shared" si="18"/>
        <v>1</v>
      </c>
      <c r="I187" s="8">
        <f t="shared" si="18"/>
        <v>7</v>
      </c>
      <c r="J187" s="8">
        <f t="shared" si="19"/>
        <v>1</v>
      </c>
      <c r="K187" s="15">
        <v>1.3888889225199819E-4</v>
      </c>
      <c r="M187" s="8">
        <f t="shared" si="16"/>
        <v>282</v>
      </c>
      <c r="N187" s="9" t="s">
        <v>63</v>
      </c>
      <c r="O187" s="9" t="s">
        <v>16</v>
      </c>
      <c r="P187" s="9">
        <v>1220</v>
      </c>
      <c r="Q187" s="9">
        <v>318</v>
      </c>
      <c r="R187" s="8" t="s">
        <v>17</v>
      </c>
      <c r="S187" s="11">
        <v>51</v>
      </c>
      <c r="T187" s="10">
        <v>0.27</v>
      </c>
    </row>
    <row r="188" spans="1:20" x14ac:dyDescent="0.3">
      <c r="A188" s="7">
        <f t="shared" si="17"/>
        <v>183</v>
      </c>
      <c r="B188" s="8">
        <v>203</v>
      </c>
      <c r="C188" s="9" t="str">
        <f t="shared" si="15"/>
        <v>2830x85185fe3A4e36079818Ba1d12705A9B6898997040xa60AdD2af71a4f50b3F94509E71a1e9DbDeA5dDa1586458unidade620027</v>
      </c>
      <c r="D188" s="13" t="s">
        <v>250</v>
      </c>
      <c r="E188" s="8" t="s">
        <v>1141</v>
      </c>
      <c r="F188" s="8">
        <f t="shared" si="18"/>
        <v>0</v>
      </c>
      <c r="G188" s="8">
        <f t="shared" si="18"/>
        <v>0</v>
      </c>
      <c r="H188" s="8">
        <f t="shared" si="18"/>
        <v>8</v>
      </c>
      <c r="I188" s="8">
        <f t="shared" si="18"/>
        <v>9</v>
      </c>
      <c r="J188" s="8">
        <f t="shared" si="19"/>
        <v>8</v>
      </c>
      <c r="K188" s="15">
        <v>4.6296292566694319E-5</v>
      </c>
      <c r="M188" s="8">
        <f t="shared" si="16"/>
        <v>283</v>
      </c>
      <c r="N188" s="9" t="s">
        <v>63</v>
      </c>
      <c r="O188" s="9" t="s">
        <v>16</v>
      </c>
      <c r="P188" s="9">
        <v>1586</v>
      </c>
      <c r="Q188" s="9">
        <v>458</v>
      </c>
      <c r="R188" s="8" t="s">
        <v>17</v>
      </c>
      <c r="S188" s="11">
        <v>62</v>
      </c>
      <c r="T188" s="10">
        <v>0.27</v>
      </c>
    </row>
    <row r="189" spans="1:20" x14ac:dyDescent="0.3">
      <c r="A189" s="7">
        <f t="shared" si="17"/>
        <v>184</v>
      </c>
      <c r="B189" s="8">
        <v>96</v>
      </c>
      <c r="C189" s="9" t="str">
        <f t="shared" si="15"/>
        <v>2840x85185fe3A4e36079818Ba1d12705A9B6898997040xa60AdD2af71a4f50b3F94509E71a1e9DbDeA5dDa1024175unidade1660027</v>
      </c>
      <c r="D189" s="13" t="s">
        <v>251</v>
      </c>
      <c r="E189" s="8" t="s">
        <v>1142</v>
      </c>
      <c r="F189" s="8">
        <f t="shared" si="18"/>
        <v>0</v>
      </c>
      <c r="G189" s="8">
        <f t="shared" si="18"/>
        <v>0</v>
      </c>
      <c r="H189" s="8">
        <f t="shared" si="18"/>
        <v>1</v>
      </c>
      <c r="I189" s="8">
        <f t="shared" si="18"/>
        <v>1</v>
      </c>
      <c r="J189" s="8">
        <f t="shared" si="19"/>
        <v>1</v>
      </c>
      <c r="K189" s="15">
        <v>3.4722223062999547E-5</v>
      </c>
      <c r="M189" s="8">
        <f t="shared" si="16"/>
        <v>284</v>
      </c>
      <c r="N189" s="9" t="s">
        <v>63</v>
      </c>
      <c r="O189" s="9" t="s">
        <v>16</v>
      </c>
      <c r="P189" s="9">
        <v>1024</v>
      </c>
      <c r="Q189" s="9">
        <v>175</v>
      </c>
      <c r="R189" s="8" t="s">
        <v>17</v>
      </c>
      <c r="S189" s="11">
        <v>166</v>
      </c>
      <c r="T189" s="10">
        <v>0.27</v>
      </c>
    </row>
    <row r="190" spans="1:20" x14ac:dyDescent="0.3">
      <c r="A190" s="7">
        <f t="shared" si="17"/>
        <v>185</v>
      </c>
      <c r="B190" s="8">
        <v>519</v>
      </c>
      <c r="C190" s="9" t="str">
        <f t="shared" si="15"/>
        <v>2850x85185fe3A4e36079818Ba1d12705A9B6898997040xa60AdD2af71a4f50b3F94509E71a1e9DbDeA5dDa1116177unidade830027</v>
      </c>
      <c r="D190" s="13" t="s">
        <v>252</v>
      </c>
      <c r="E190" s="8" t="s">
        <v>1143</v>
      </c>
      <c r="F190" s="8">
        <f t="shared" si="18"/>
        <v>0</v>
      </c>
      <c r="G190" s="8">
        <f t="shared" si="18"/>
        <v>0</v>
      </c>
      <c r="H190" s="8">
        <f t="shared" si="18"/>
        <v>4</v>
      </c>
      <c r="I190" s="8">
        <f t="shared" si="18"/>
        <v>7</v>
      </c>
      <c r="J190" s="8">
        <f t="shared" si="19"/>
        <v>4</v>
      </c>
      <c r="K190" s="15">
        <v>1.273148154723458E-4</v>
      </c>
      <c r="M190" s="8">
        <f t="shared" si="16"/>
        <v>285</v>
      </c>
      <c r="N190" s="9" t="s">
        <v>63</v>
      </c>
      <c r="O190" s="9" t="s">
        <v>16</v>
      </c>
      <c r="P190" s="9">
        <v>1116</v>
      </c>
      <c r="Q190" s="9">
        <v>177</v>
      </c>
      <c r="R190" s="8" t="s">
        <v>17</v>
      </c>
      <c r="S190" s="11">
        <v>83</v>
      </c>
      <c r="T190" s="10">
        <v>0.27</v>
      </c>
    </row>
    <row r="191" spans="1:20" x14ac:dyDescent="0.3">
      <c r="A191" s="7">
        <f t="shared" si="17"/>
        <v>186</v>
      </c>
      <c r="B191" s="8">
        <v>50</v>
      </c>
      <c r="C191" s="9" t="str">
        <f t="shared" si="15"/>
        <v>2860x85185fe3A4e36079818Ba1d12705A9B6898997040xa60AdD2af71a4f50b3F94509E71a1e9DbDeA5dDa1091190unidade2000027</v>
      </c>
      <c r="D191" s="13" t="s">
        <v>253</v>
      </c>
      <c r="E191" s="8" t="s">
        <v>1144</v>
      </c>
      <c r="F191" s="8">
        <f t="shared" si="18"/>
        <v>0</v>
      </c>
      <c r="G191" s="8">
        <f t="shared" si="18"/>
        <v>0</v>
      </c>
      <c r="H191" s="8">
        <f t="shared" si="18"/>
        <v>9</v>
      </c>
      <c r="I191" s="8">
        <f t="shared" si="18"/>
        <v>5</v>
      </c>
      <c r="J191" s="8">
        <f t="shared" si="19"/>
        <v>9</v>
      </c>
      <c r="K191" s="15">
        <v>2.314814628334716E-5</v>
      </c>
      <c r="M191" s="8">
        <f t="shared" si="16"/>
        <v>286</v>
      </c>
      <c r="N191" s="9" t="s">
        <v>63</v>
      </c>
      <c r="O191" s="9" t="s">
        <v>16</v>
      </c>
      <c r="P191" s="9">
        <v>1091</v>
      </c>
      <c r="Q191" s="9">
        <v>190</v>
      </c>
      <c r="R191" s="8" t="s">
        <v>17</v>
      </c>
      <c r="S191" s="11">
        <v>200</v>
      </c>
      <c r="T191" s="10">
        <v>0.27</v>
      </c>
    </row>
    <row r="192" spans="1:20" x14ac:dyDescent="0.3">
      <c r="A192" s="7">
        <f t="shared" si="17"/>
        <v>187</v>
      </c>
      <c r="B192" s="8">
        <v>583</v>
      </c>
      <c r="C192" s="9" t="str">
        <f t="shared" si="15"/>
        <v>2870x85185fe3A4e36079818Ba1d12705A9B6898997040xa60AdD2af71a4f50b3F94509E71a1e9DbDeA5dDa1577365unidade1120027</v>
      </c>
      <c r="D192" s="13" t="s">
        <v>254</v>
      </c>
      <c r="E192" s="8" t="s">
        <v>1145</v>
      </c>
      <c r="F192" s="8">
        <f t="shared" si="18"/>
        <v>0</v>
      </c>
      <c r="G192" s="8">
        <f t="shared" si="18"/>
        <v>0</v>
      </c>
      <c r="H192" s="8">
        <f t="shared" si="18"/>
        <v>1</v>
      </c>
      <c r="I192" s="8">
        <f t="shared" si="18"/>
        <v>1</v>
      </c>
      <c r="J192" s="8">
        <f t="shared" si="19"/>
        <v>1</v>
      </c>
      <c r="K192" s="15">
        <v>1.3888889225199819E-4</v>
      </c>
      <c r="M192" s="8">
        <f t="shared" si="16"/>
        <v>287</v>
      </c>
      <c r="N192" s="9" t="s">
        <v>63</v>
      </c>
      <c r="O192" s="9" t="s">
        <v>16</v>
      </c>
      <c r="P192" s="9">
        <v>1577</v>
      </c>
      <c r="Q192" s="9">
        <v>365</v>
      </c>
      <c r="R192" s="8" t="s">
        <v>17</v>
      </c>
      <c r="S192" s="11">
        <v>112</v>
      </c>
      <c r="T192" s="10">
        <v>0.27</v>
      </c>
    </row>
    <row r="193" spans="1:20" x14ac:dyDescent="0.3">
      <c r="A193" s="7">
        <f t="shared" si="17"/>
        <v>188</v>
      </c>
      <c r="B193" s="8">
        <v>60</v>
      </c>
      <c r="C193" s="9" t="str">
        <f t="shared" si="15"/>
        <v>2880x85185fe3A4e36079818Ba1d12705A9B6898997040xa60AdD2af71a4f50b3F94509E71a1e9DbDeA5dDa1550494unidade2200027</v>
      </c>
      <c r="D193" s="13" t="s">
        <v>255</v>
      </c>
      <c r="E193" s="8" t="s">
        <v>1146</v>
      </c>
      <c r="F193" s="8">
        <f t="shared" si="18"/>
        <v>0</v>
      </c>
      <c r="G193" s="8">
        <f t="shared" si="18"/>
        <v>0</v>
      </c>
      <c r="H193" s="8">
        <f t="shared" si="18"/>
        <v>9</v>
      </c>
      <c r="I193" s="8">
        <f t="shared" si="18"/>
        <v>6</v>
      </c>
      <c r="J193" s="8">
        <f t="shared" si="19"/>
        <v>9</v>
      </c>
      <c r="K193" s="15">
        <v>2.314814628334716E-5</v>
      </c>
      <c r="M193" s="8">
        <f t="shared" si="16"/>
        <v>288</v>
      </c>
      <c r="N193" s="9" t="s">
        <v>63</v>
      </c>
      <c r="O193" s="9" t="s">
        <v>16</v>
      </c>
      <c r="P193" s="9">
        <v>1550</v>
      </c>
      <c r="Q193" s="9">
        <v>494</v>
      </c>
      <c r="R193" s="8" t="s">
        <v>17</v>
      </c>
      <c r="S193" s="11">
        <v>220</v>
      </c>
      <c r="T193" s="10">
        <v>0.27</v>
      </c>
    </row>
    <row r="194" spans="1:20" x14ac:dyDescent="0.3">
      <c r="A194" s="7">
        <f t="shared" si="17"/>
        <v>189</v>
      </c>
      <c r="B194" s="8">
        <v>139</v>
      </c>
      <c r="C194" s="9" t="str">
        <f t="shared" si="15"/>
        <v>2890x85185fe3A4e36079818Ba1d12705A9B6898997040xa60AdD2af71a4f50b3F94509E71a1e9DbDeA5dDa1105269unidade2020027</v>
      </c>
      <c r="D194" s="13" t="s">
        <v>256</v>
      </c>
      <c r="E194" s="8" t="s">
        <v>1147</v>
      </c>
      <c r="F194" s="8">
        <f t="shared" si="18"/>
        <v>0</v>
      </c>
      <c r="G194" s="8">
        <f t="shared" si="18"/>
        <v>0</v>
      </c>
      <c r="H194" s="8">
        <f t="shared" si="18"/>
        <v>3</v>
      </c>
      <c r="I194" s="8">
        <f t="shared" si="18"/>
        <v>1</v>
      </c>
      <c r="J194" s="8">
        <f t="shared" si="19"/>
        <v>3</v>
      </c>
      <c r="K194" s="15">
        <v>3.4722223062999547E-5</v>
      </c>
      <c r="M194" s="8">
        <f t="shared" si="16"/>
        <v>289</v>
      </c>
      <c r="N194" s="9" t="s">
        <v>63</v>
      </c>
      <c r="O194" s="9" t="s">
        <v>16</v>
      </c>
      <c r="P194" s="9">
        <v>1105</v>
      </c>
      <c r="Q194" s="9">
        <v>269</v>
      </c>
      <c r="R194" s="8" t="s">
        <v>17</v>
      </c>
      <c r="S194" s="11">
        <v>202</v>
      </c>
      <c r="T194" s="10">
        <v>0.27</v>
      </c>
    </row>
    <row r="195" spans="1:20" x14ac:dyDescent="0.3">
      <c r="A195" s="7">
        <f t="shared" si="17"/>
        <v>190</v>
      </c>
      <c r="B195" s="8">
        <v>21</v>
      </c>
      <c r="C195" s="9" t="str">
        <f t="shared" si="15"/>
        <v>2900x85185fe3A4e36079818Ba1d12705A9B6898997040xa60AdD2af71a4f50b3F94509E71a1e9DbDeA5dDa1994268unidade2400027</v>
      </c>
      <c r="D195" s="13" t="s">
        <v>257</v>
      </c>
      <c r="E195" s="8" t="s">
        <v>1148</v>
      </c>
      <c r="F195" s="8">
        <f t="shared" si="18"/>
        <v>0</v>
      </c>
      <c r="G195" s="8">
        <f t="shared" si="18"/>
        <v>0</v>
      </c>
      <c r="H195" s="8">
        <f t="shared" si="18"/>
        <v>1</v>
      </c>
      <c r="I195" s="8">
        <f t="shared" si="18"/>
        <v>8</v>
      </c>
      <c r="J195" s="8">
        <f t="shared" si="19"/>
        <v>1</v>
      </c>
      <c r="K195" s="15">
        <v>1.1574076779652387E-5</v>
      </c>
      <c r="M195" s="8">
        <f t="shared" si="16"/>
        <v>290</v>
      </c>
      <c r="N195" s="9" t="s">
        <v>63</v>
      </c>
      <c r="O195" s="9" t="s">
        <v>16</v>
      </c>
      <c r="P195" s="9">
        <v>1994</v>
      </c>
      <c r="Q195" s="9">
        <v>268</v>
      </c>
      <c r="R195" s="8" t="s">
        <v>17</v>
      </c>
      <c r="S195" s="11">
        <v>240</v>
      </c>
      <c r="T195" s="10">
        <v>0.27</v>
      </c>
    </row>
    <row r="196" spans="1:20" x14ac:dyDescent="0.3">
      <c r="A196" s="7">
        <f t="shared" si="17"/>
        <v>191</v>
      </c>
      <c r="B196" s="8">
        <v>659</v>
      </c>
      <c r="C196" s="9" t="str">
        <f t="shared" si="15"/>
        <v>2910x85185fe3A4e36079818Ba1d12705A9B6898997040xa60AdD2af71a4f50b3F94509E71a1e9DbDeA5dDa1107232unidade1630027</v>
      </c>
      <c r="D196" s="13" t="s">
        <v>258</v>
      </c>
      <c r="E196" s="8" t="s">
        <v>1149</v>
      </c>
      <c r="F196" s="8">
        <f t="shared" si="18"/>
        <v>0</v>
      </c>
      <c r="G196" s="8">
        <f t="shared" si="18"/>
        <v>0</v>
      </c>
      <c r="H196" s="8">
        <f t="shared" si="18"/>
        <v>7</v>
      </c>
      <c r="I196" s="8">
        <f t="shared" si="18"/>
        <v>1</v>
      </c>
      <c r="J196" s="8">
        <f t="shared" si="19"/>
        <v>7</v>
      </c>
      <c r="K196" s="15">
        <v>1.6203703125938773E-4</v>
      </c>
      <c r="M196" s="8">
        <f t="shared" si="16"/>
        <v>291</v>
      </c>
      <c r="N196" s="9" t="s">
        <v>63</v>
      </c>
      <c r="O196" s="9" t="s">
        <v>16</v>
      </c>
      <c r="P196" s="9">
        <v>1107</v>
      </c>
      <c r="Q196" s="9">
        <v>232</v>
      </c>
      <c r="R196" s="8" t="s">
        <v>17</v>
      </c>
      <c r="S196" s="11">
        <v>163</v>
      </c>
      <c r="T196" s="10">
        <v>0.27</v>
      </c>
    </row>
    <row r="197" spans="1:20" x14ac:dyDescent="0.3">
      <c r="A197" s="7">
        <f t="shared" si="17"/>
        <v>192</v>
      </c>
      <c r="B197" s="8">
        <v>572</v>
      </c>
      <c r="C197" s="9" t="str">
        <f t="shared" si="15"/>
        <v>2920x85185fe3A4e36079818Ba1d12705A9B6898997040xa60AdD2af71a4f50b3F94509E71a1e9DbDeA5dDa1272188unidade1820027</v>
      </c>
      <c r="D197" s="13" t="s">
        <v>259</v>
      </c>
      <c r="E197" s="8" t="s">
        <v>1150</v>
      </c>
      <c r="F197" s="8">
        <f t="shared" si="18"/>
        <v>0</v>
      </c>
      <c r="G197" s="8">
        <f t="shared" si="18"/>
        <v>0</v>
      </c>
      <c r="H197" s="8">
        <f t="shared" si="18"/>
        <v>5</v>
      </c>
      <c r="I197" s="8">
        <f t="shared" si="18"/>
        <v>0</v>
      </c>
      <c r="J197" s="8">
        <f t="shared" si="19"/>
        <v>5</v>
      </c>
      <c r="K197" s="15">
        <v>1.5046296903165057E-4</v>
      </c>
      <c r="M197" s="8">
        <f t="shared" si="16"/>
        <v>292</v>
      </c>
      <c r="N197" s="9" t="s">
        <v>63</v>
      </c>
      <c r="O197" s="9" t="s">
        <v>16</v>
      </c>
      <c r="P197" s="9">
        <v>1272</v>
      </c>
      <c r="Q197" s="9">
        <v>188</v>
      </c>
      <c r="R197" s="8" t="s">
        <v>17</v>
      </c>
      <c r="S197" s="11">
        <v>182</v>
      </c>
      <c r="T197" s="10">
        <v>0.27</v>
      </c>
    </row>
    <row r="198" spans="1:20" x14ac:dyDescent="0.3">
      <c r="A198" s="7">
        <f t="shared" si="17"/>
        <v>193</v>
      </c>
      <c r="B198" s="8">
        <v>513</v>
      </c>
      <c r="C198" s="9" t="str">
        <f t="shared" ref="C198:C261" si="20">M198&amp;N198&amp;O198&amp;P198&amp;Q198&amp;R198&amp;(S198*100)&amp;(T198*100)</f>
        <v>2930x85185fe3A4e36079818Ba1d12705A9B6898997040xa60AdD2af71a4f50b3F94509E71a1e9DbDeA5dDa1540281unidade1750027</v>
      </c>
      <c r="D198" s="13" t="s">
        <v>260</v>
      </c>
      <c r="E198" s="8" t="s">
        <v>1151</v>
      </c>
      <c r="F198" s="8">
        <f t="shared" si="18"/>
        <v>0</v>
      </c>
      <c r="G198" s="8">
        <f t="shared" si="18"/>
        <v>0</v>
      </c>
      <c r="H198" s="8">
        <f t="shared" si="18"/>
        <v>1</v>
      </c>
      <c r="I198" s="8">
        <f t="shared" si="18"/>
        <v>1</v>
      </c>
      <c r="J198" s="8">
        <f t="shared" si="19"/>
        <v>1</v>
      </c>
      <c r="K198" s="15">
        <v>1.273148154723458E-4</v>
      </c>
      <c r="M198" s="8">
        <f t="shared" ref="M198:M261" si="21">1+M197</f>
        <v>293</v>
      </c>
      <c r="N198" s="9" t="s">
        <v>63</v>
      </c>
      <c r="O198" s="9" t="s">
        <v>16</v>
      </c>
      <c r="P198" s="9">
        <v>1540</v>
      </c>
      <c r="Q198" s="9">
        <v>281</v>
      </c>
      <c r="R198" s="8" t="s">
        <v>17</v>
      </c>
      <c r="S198" s="11">
        <v>175</v>
      </c>
      <c r="T198" s="10">
        <v>0.27</v>
      </c>
    </row>
    <row r="199" spans="1:20" x14ac:dyDescent="0.3">
      <c r="A199" s="7">
        <f t="shared" ref="A199:A262" si="22">1+A198</f>
        <v>194</v>
      </c>
      <c r="B199" s="8">
        <v>497</v>
      </c>
      <c r="C199" s="9" t="str">
        <f t="shared" si="20"/>
        <v>2940x85185fe3A4e36079818Ba1d12705A9B6898997040xa60AdD2af71a4f50b3F94509E71a1e9DbDeA5dDa1903457unidade2440027</v>
      </c>
      <c r="D199" s="13" t="s">
        <v>261</v>
      </c>
      <c r="E199" s="8" t="s">
        <v>1152</v>
      </c>
      <c r="F199" s="8">
        <f t="shared" si="18"/>
        <v>0</v>
      </c>
      <c r="G199" s="8">
        <f t="shared" si="18"/>
        <v>0</v>
      </c>
      <c r="H199" s="8">
        <f t="shared" si="18"/>
        <v>8</v>
      </c>
      <c r="I199" s="8">
        <f t="shared" si="18"/>
        <v>1</v>
      </c>
      <c r="J199" s="8">
        <f t="shared" si="19"/>
        <v>8</v>
      </c>
      <c r="K199" s="15">
        <v>1.2731480819638819E-4</v>
      </c>
      <c r="M199" s="8">
        <f t="shared" si="21"/>
        <v>294</v>
      </c>
      <c r="N199" s="9" t="s">
        <v>63</v>
      </c>
      <c r="O199" s="9" t="s">
        <v>16</v>
      </c>
      <c r="P199" s="9">
        <v>1903</v>
      </c>
      <c r="Q199" s="9">
        <v>457</v>
      </c>
      <c r="R199" s="8" t="s">
        <v>17</v>
      </c>
      <c r="S199" s="11">
        <v>244</v>
      </c>
      <c r="T199" s="10">
        <v>0.27</v>
      </c>
    </row>
    <row r="200" spans="1:20" x14ac:dyDescent="0.3">
      <c r="A200" s="7">
        <f t="shared" si="22"/>
        <v>195</v>
      </c>
      <c r="B200" s="8">
        <v>363</v>
      </c>
      <c r="C200" s="9" t="str">
        <f t="shared" si="20"/>
        <v>2950x85185fe3A4e36079818Ba1d12705A9B6898997040xa60AdD2af71a4f50b3F94509E71a1e9DbDeA5dDa1089432unidade1980027</v>
      </c>
      <c r="D200" s="13" t="s">
        <v>262</v>
      </c>
      <c r="E200" s="8" t="s">
        <v>1153</v>
      </c>
      <c r="F200" s="8">
        <f t="shared" si="18"/>
        <v>0</v>
      </c>
      <c r="G200" s="8">
        <f t="shared" si="18"/>
        <v>0</v>
      </c>
      <c r="H200" s="8">
        <f t="shared" si="18"/>
        <v>7</v>
      </c>
      <c r="I200" s="8">
        <f t="shared" si="18"/>
        <v>1</v>
      </c>
      <c r="J200" s="8">
        <f t="shared" si="19"/>
        <v>7</v>
      </c>
      <c r="K200" s="15">
        <v>9.2592599685303867E-5</v>
      </c>
      <c r="M200" s="8">
        <f t="shared" si="21"/>
        <v>295</v>
      </c>
      <c r="N200" s="9" t="s">
        <v>63</v>
      </c>
      <c r="O200" s="9" t="s">
        <v>16</v>
      </c>
      <c r="P200" s="9">
        <v>1089</v>
      </c>
      <c r="Q200" s="9">
        <v>432</v>
      </c>
      <c r="R200" s="8" t="s">
        <v>17</v>
      </c>
      <c r="S200" s="11">
        <v>198</v>
      </c>
      <c r="T200" s="10">
        <v>0.27</v>
      </c>
    </row>
    <row r="201" spans="1:20" x14ac:dyDescent="0.3">
      <c r="A201" s="7">
        <f t="shared" si="22"/>
        <v>196</v>
      </c>
      <c r="B201" s="8">
        <v>92</v>
      </c>
      <c r="C201" s="9" t="str">
        <f t="shared" si="20"/>
        <v>2960x85185fe3A4e36079818Ba1d12705A9B6898997040xa60AdD2af71a4f50b3F94509E71a1e9DbDeA5dDa1651413unidade1360027</v>
      </c>
      <c r="D201" s="13" t="s">
        <v>263</v>
      </c>
      <c r="E201" s="8" t="s">
        <v>1154</v>
      </c>
      <c r="F201" s="8">
        <f t="shared" si="18"/>
        <v>0</v>
      </c>
      <c r="G201" s="8">
        <f t="shared" si="18"/>
        <v>0</v>
      </c>
      <c r="H201" s="8">
        <f t="shared" si="18"/>
        <v>4</v>
      </c>
      <c r="I201" s="8">
        <f t="shared" si="18"/>
        <v>5</v>
      </c>
      <c r="J201" s="8">
        <f t="shared" si="19"/>
        <v>4</v>
      </c>
      <c r="K201" s="15">
        <v>2.314814628334716E-5</v>
      </c>
      <c r="M201" s="8">
        <f t="shared" si="21"/>
        <v>296</v>
      </c>
      <c r="N201" s="9" t="s">
        <v>63</v>
      </c>
      <c r="O201" s="9" t="s">
        <v>16</v>
      </c>
      <c r="P201" s="9">
        <v>1651</v>
      </c>
      <c r="Q201" s="9">
        <v>413</v>
      </c>
      <c r="R201" s="8" t="s">
        <v>17</v>
      </c>
      <c r="S201" s="11">
        <v>136</v>
      </c>
      <c r="T201" s="10">
        <v>0.27</v>
      </c>
    </row>
    <row r="202" spans="1:20" x14ac:dyDescent="0.3">
      <c r="A202" s="7">
        <f t="shared" si="22"/>
        <v>197</v>
      </c>
      <c r="B202" s="8">
        <v>58</v>
      </c>
      <c r="C202" s="9" t="str">
        <f t="shared" si="20"/>
        <v>2970x85185fe3A4e36079818Ba1d12705A9B6898997040xa60AdD2af71a4f50b3F94509E71a1e9DbDeA5dDa1682404unidade2170027</v>
      </c>
      <c r="D202" s="13" t="s">
        <v>264</v>
      </c>
      <c r="E202" s="8" t="s">
        <v>1155</v>
      </c>
      <c r="F202" s="8">
        <f t="shared" si="18"/>
        <v>0</v>
      </c>
      <c r="G202" s="8">
        <f t="shared" si="18"/>
        <v>0</v>
      </c>
      <c r="H202" s="8">
        <f t="shared" si="18"/>
        <v>8</v>
      </c>
      <c r="I202" s="8">
        <f t="shared" si="18"/>
        <v>1</v>
      </c>
      <c r="J202" s="8">
        <f t="shared" si="19"/>
        <v>8</v>
      </c>
      <c r="K202" s="15">
        <v>2.314814628334716E-5</v>
      </c>
      <c r="M202" s="8">
        <f t="shared" si="21"/>
        <v>297</v>
      </c>
      <c r="N202" s="9" t="s">
        <v>63</v>
      </c>
      <c r="O202" s="9" t="s">
        <v>16</v>
      </c>
      <c r="P202" s="9">
        <v>1682</v>
      </c>
      <c r="Q202" s="9">
        <v>404</v>
      </c>
      <c r="R202" s="8" t="s">
        <v>17</v>
      </c>
      <c r="S202" s="11">
        <v>217</v>
      </c>
      <c r="T202" s="10">
        <v>0.27</v>
      </c>
    </row>
    <row r="203" spans="1:20" x14ac:dyDescent="0.3">
      <c r="A203" s="7">
        <f t="shared" si="22"/>
        <v>198</v>
      </c>
      <c r="B203" s="8">
        <v>84</v>
      </c>
      <c r="C203" s="9" t="str">
        <f t="shared" si="20"/>
        <v>2980x85185fe3A4e36079818Ba1d12705A9B6898997040xa60AdD2af71a4f50b3F94509E71a1e9DbDeA5dDa1836172unidade1640027</v>
      </c>
      <c r="D203" s="13" t="s">
        <v>265</v>
      </c>
      <c r="E203" s="8" t="s">
        <v>1156</v>
      </c>
      <c r="F203" s="8">
        <f t="shared" si="18"/>
        <v>0</v>
      </c>
      <c r="G203" s="8">
        <f t="shared" si="18"/>
        <v>0</v>
      </c>
      <c r="H203" s="8">
        <f t="shared" si="18"/>
        <v>1</v>
      </c>
      <c r="I203" s="8">
        <f t="shared" si="18"/>
        <v>2</v>
      </c>
      <c r="J203" s="8">
        <f t="shared" si="19"/>
        <v>1</v>
      </c>
      <c r="K203" s="15">
        <v>3.4722223062999547E-5</v>
      </c>
      <c r="M203" s="8">
        <f t="shared" si="21"/>
        <v>298</v>
      </c>
      <c r="N203" s="9" t="s">
        <v>63</v>
      </c>
      <c r="O203" s="9" t="s">
        <v>16</v>
      </c>
      <c r="P203" s="9">
        <v>1836</v>
      </c>
      <c r="Q203" s="9">
        <v>172</v>
      </c>
      <c r="R203" s="8" t="s">
        <v>17</v>
      </c>
      <c r="S203" s="11">
        <v>164</v>
      </c>
      <c r="T203" s="10">
        <v>0.27</v>
      </c>
    </row>
    <row r="204" spans="1:20" x14ac:dyDescent="0.3">
      <c r="A204" s="7">
        <f t="shared" si="22"/>
        <v>199</v>
      </c>
      <c r="B204" s="8">
        <v>127</v>
      </c>
      <c r="C204" s="9" t="str">
        <f t="shared" si="20"/>
        <v>2990x85185fe3A4e36079818Ba1d12705A9B6898997040xa60AdD2af71a4f50b3F94509E71a1e9DbDeA5dDa1159287unidade1540027</v>
      </c>
      <c r="D204" s="13" t="s">
        <v>266</v>
      </c>
      <c r="E204" s="8" t="s">
        <v>1157</v>
      </c>
      <c r="F204" s="8">
        <f t="shared" si="18"/>
        <v>0</v>
      </c>
      <c r="G204" s="8">
        <f t="shared" si="18"/>
        <v>0</v>
      </c>
      <c r="H204" s="8">
        <f t="shared" si="18"/>
        <v>1</v>
      </c>
      <c r="I204" s="8">
        <f t="shared" si="18"/>
        <v>1</v>
      </c>
      <c r="J204" s="8">
        <f t="shared" si="19"/>
        <v>1</v>
      </c>
      <c r="K204" s="15">
        <v>3.4722223062999547E-5</v>
      </c>
      <c r="M204" s="8">
        <f t="shared" si="21"/>
        <v>299</v>
      </c>
      <c r="N204" s="9" t="s">
        <v>63</v>
      </c>
      <c r="O204" s="9" t="s">
        <v>16</v>
      </c>
      <c r="P204" s="9">
        <v>1159</v>
      </c>
      <c r="Q204" s="9">
        <v>287</v>
      </c>
      <c r="R204" s="8" t="s">
        <v>17</v>
      </c>
      <c r="S204" s="11">
        <v>154</v>
      </c>
      <c r="T204" s="10">
        <v>0.27</v>
      </c>
    </row>
    <row r="205" spans="1:20" x14ac:dyDescent="0.3">
      <c r="A205" s="7">
        <f t="shared" si="22"/>
        <v>200</v>
      </c>
      <c r="B205" s="8">
        <v>35</v>
      </c>
      <c r="C205" s="9" t="str">
        <f t="shared" si="20"/>
        <v>3000x85185fe3A4e36079818Ba1d12705A9B6898997040xa60AdD2af71a4f50b3F94509E71a1e9DbDeA5dDa1378386unidade1440027</v>
      </c>
      <c r="D205" s="13" t="s">
        <v>267</v>
      </c>
      <c r="E205" s="8" t="s">
        <v>1158</v>
      </c>
      <c r="F205" s="8">
        <f t="shared" si="18"/>
        <v>0</v>
      </c>
      <c r="G205" s="8">
        <f t="shared" si="18"/>
        <v>0</v>
      </c>
      <c r="H205" s="8">
        <f t="shared" si="18"/>
        <v>1</v>
      </c>
      <c r="I205" s="8">
        <f t="shared" si="18"/>
        <v>0</v>
      </c>
      <c r="J205" s="8">
        <f t="shared" si="19"/>
        <v>1</v>
      </c>
      <c r="K205" s="15">
        <v>1.1574069503694773E-5</v>
      </c>
      <c r="M205" s="8">
        <f t="shared" si="21"/>
        <v>300</v>
      </c>
      <c r="N205" s="9" t="s">
        <v>63</v>
      </c>
      <c r="O205" s="9" t="s">
        <v>16</v>
      </c>
      <c r="P205" s="9">
        <v>1378</v>
      </c>
      <c r="Q205" s="9">
        <v>386</v>
      </c>
      <c r="R205" s="8" t="s">
        <v>17</v>
      </c>
      <c r="S205" s="11">
        <v>144</v>
      </c>
      <c r="T205" s="10">
        <v>0.27</v>
      </c>
    </row>
    <row r="206" spans="1:20" x14ac:dyDescent="0.3">
      <c r="A206" s="7">
        <f t="shared" si="22"/>
        <v>201</v>
      </c>
      <c r="B206" s="8">
        <v>417</v>
      </c>
      <c r="C206" s="9" t="str">
        <f t="shared" si="20"/>
        <v>3010x85185fe3A4e36079818Ba1d12705A9B6898997040xa60AdD2af71a4f50b3F94509E71a1e9DbDeA5dDa1534394unidade770027</v>
      </c>
      <c r="D206" s="13" t="s">
        <v>268</v>
      </c>
      <c r="E206" s="8" t="s">
        <v>1159</v>
      </c>
      <c r="F206" s="8">
        <f t="shared" si="18"/>
        <v>0</v>
      </c>
      <c r="G206" s="8">
        <f t="shared" si="18"/>
        <v>0</v>
      </c>
      <c r="H206" s="8">
        <f t="shared" si="18"/>
        <v>1</v>
      </c>
      <c r="I206" s="8">
        <f t="shared" si="18"/>
        <v>4</v>
      </c>
      <c r="J206" s="8">
        <f t="shared" si="19"/>
        <v>1</v>
      </c>
      <c r="K206" s="15">
        <v>1.273148154723458E-4</v>
      </c>
      <c r="M206" s="8">
        <f t="shared" si="21"/>
        <v>301</v>
      </c>
      <c r="N206" s="9" t="s">
        <v>63</v>
      </c>
      <c r="O206" s="9" t="s">
        <v>16</v>
      </c>
      <c r="P206" s="9">
        <v>1534</v>
      </c>
      <c r="Q206" s="9">
        <v>394</v>
      </c>
      <c r="R206" s="8" t="s">
        <v>17</v>
      </c>
      <c r="S206" s="11">
        <v>77</v>
      </c>
      <c r="T206" s="10">
        <v>0.27</v>
      </c>
    </row>
    <row r="207" spans="1:20" x14ac:dyDescent="0.3">
      <c r="A207" s="7">
        <f t="shared" si="22"/>
        <v>202</v>
      </c>
      <c r="B207" s="8">
        <v>103</v>
      </c>
      <c r="C207" s="9" t="str">
        <f t="shared" si="20"/>
        <v>3020x85185fe3A4e36079818Ba1d12705A9B6898997040xa60AdD2af71a4f50b3F94509E71a1e9DbDeA5dDa1082367unidade1020027</v>
      </c>
      <c r="D207" s="13" t="s">
        <v>269</v>
      </c>
      <c r="E207" s="8" t="s">
        <v>1160</v>
      </c>
      <c r="F207" s="8">
        <f t="shared" si="18"/>
        <v>0</v>
      </c>
      <c r="G207" s="8">
        <f t="shared" si="18"/>
        <v>0</v>
      </c>
      <c r="H207" s="8">
        <f t="shared" si="18"/>
        <v>8</v>
      </c>
      <c r="I207" s="8">
        <f t="shared" si="18"/>
        <v>0</v>
      </c>
      <c r="J207" s="8">
        <f t="shared" si="19"/>
        <v>8</v>
      </c>
      <c r="K207" s="15">
        <v>2.314814628334716E-5</v>
      </c>
      <c r="M207" s="8">
        <f t="shared" si="21"/>
        <v>302</v>
      </c>
      <c r="N207" s="9" t="s">
        <v>63</v>
      </c>
      <c r="O207" s="9" t="s">
        <v>16</v>
      </c>
      <c r="P207" s="9">
        <v>1082</v>
      </c>
      <c r="Q207" s="9">
        <v>367</v>
      </c>
      <c r="R207" s="8" t="s">
        <v>17</v>
      </c>
      <c r="S207" s="11">
        <v>102</v>
      </c>
      <c r="T207" s="10">
        <v>0.27</v>
      </c>
    </row>
    <row r="208" spans="1:20" x14ac:dyDescent="0.3">
      <c r="A208" s="7">
        <f t="shared" si="22"/>
        <v>203</v>
      </c>
      <c r="B208" s="8">
        <v>1084</v>
      </c>
      <c r="C208" s="9" t="str">
        <f t="shared" si="20"/>
        <v>3030x85185fe3A4e36079818Ba1d12705A9B6898997040xa60AdD2af71a4f50b3F94509E71a1e9DbDeA5dDa1351390unidade2180027</v>
      </c>
      <c r="D208" s="13" t="s">
        <v>270</v>
      </c>
      <c r="E208" s="8" t="s">
        <v>1161</v>
      </c>
      <c r="F208" s="8">
        <f t="shared" si="18"/>
        <v>0</v>
      </c>
      <c r="G208" s="8">
        <f t="shared" si="18"/>
        <v>0</v>
      </c>
      <c r="H208" s="8">
        <f t="shared" si="18"/>
        <v>4</v>
      </c>
      <c r="I208" s="8">
        <f t="shared" si="18"/>
        <v>1</v>
      </c>
      <c r="J208" s="8">
        <f t="shared" si="19"/>
        <v>4</v>
      </c>
      <c r="K208" s="15">
        <v>3.0092592351138592E-4</v>
      </c>
      <c r="M208" s="8">
        <f t="shared" si="21"/>
        <v>303</v>
      </c>
      <c r="N208" s="9" t="s">
        <v>63</v>
      </c>
      <c r="O208" s="9" t="s">
        <v>16</v>
      </c>
      <c r="P208" s="9">
        <v>1351</v>
      </c>
      <c r="Q208" s="9">
        <v>390</v>
      </c>
      <c r="R208" s="8" t="s">
        <v>17</v>
      </c>
      <c r="S208" s="11">
        <v>218</v>
      </c>
      <c r="T208" s="10">
        <v>0.27</v>
      </c>
    </row>
    <row r="209" spans="1:20" x14ac:dyDescent="0.3">
      <c r="A209" s="7">
        <f t="shared" si="22"/>
        <v>204</v>
      </c>
      <c r="B209" s="8">
        <v>1037</v>
      </c>
      <c r="C209" s="9" t="str">
        <f t="shared" si="20"/>
        <v>3040x85185fe3A4e36079818Ba1d12705A9B6898997040xa60AdD2af71a4f50b3F94509E71a1e9DbDeA5dDa1004336unidade1780027</v>
      </c>
      <c r="D209" s="13" t="s">
        <v>271</v>
      </c>
      <c r="E209" s="8" t="s">
        <v>1162</v>
      </c>
      <c r="F209" s="8">
        <f t="shared" si="18"/>
        <v>0</v>
      </c>
      <c r="G209" s="8">
        <f t="shared" si="18"/>
        <v>0</v>
      </c>
      <c r="H209" s="8">
        <f t="shared" si="18"/>
        <v>7</v>
      </c>
      <c r="I209" s="8">
        <f t="shared" si="18"/>
        <v>4</v>
      </c>
      <c r="J209" s="8">
        <f t="shared" si="19"/>
        <v>7</v>
      </c>
      <c r="K209" s="15">
        <v>2.6620370772434399E-4</v>
      </c>
      <c r="M209" s="8">
        <f t="shared" si="21"/>
        <v>304</v>
      </c>
      <c r="N209" s="9" t="s">
        <v>63</v>
      </c>
      <c r="O209" s="9" t="s">
        <v>16</v>
      </c>
      <c r="P209" s="9">
        <v>1004</v>
      </c>
      <c r="Q209" s="9">
        <v>336</v>
      </c>
      <c r="R209" s="8" t="s">
        <v>17</v>
      </c>
      <c r="S209" s="11">
        <v>178</v>
      </c>
      <c r="T209" s="10">
        <v>0.27</v>
      </c>
    </row>
    <row r="210" spans="1:20" x14ac:dyDescent="0.3">
      <c r="A210" s="7">
        <f t="shared" si="22"/>
        <v>205</v>
      </c>
      <c r="B210" s="8">
        <v>41</v>
      </c>
      <c r="C210" s="9" t="str">
        <f t="shared" si="20"/>
        <v>3050x85185fe3A4e36079818Ba1d12705A9B6898997040xa60AdD2af71a4f50b3F94509E71a1e9DbDeA5dDa1520312unidade1290027</v>
      </c>
      <c r="D210" s="13" t="s">
        <v>272</v>
      </c>
      <c r="E210" s="8" t="s">
        <v>672</v>
      </c>
      <c r="F210" s="8">
        <f t="shared" si="18"/>
        <v>0</v>
      </c>
      <c r="G210" s="8">
        <f t="shared" si="18"/>
        <v>0</v>
      </c>
      <c r="H210" s="8">
        <f t="shared" si="18"/>
        <v>0</v>
      </c>
      <c r="I210" s="8">
        <f t="shared" si="18"/>
        <v>4</v>
      </c>
      <c r="J210" s="8">
        <f t="shared" si="19"/>
        <v>0</v>
      </c>
      <c r="K210" s="15">
        <v>1.1574069503694773E-5</v>
      </c>
      <c r="M210" s="8">
        <f t="shared" si="21"/>
        <v>305</v>
      </c>
      <c r="N210" s="9" t="s">
        <v>63</v>
      </c>
      <c r="O210" s="9" t="s">
        <v>16</v>
      </c>
      <c r="P210" s="9">
        <v>1520</v>
      </c>
      <c r="Q210" s="9">
        <v>312</v>
      </c>
      <c r="R210" s="8" t="s">
        <v>17</v>
      </c>
      <c r="S210" s="11">
        <v>129</v>
      </c>
      <c r="T210" s="10">
        <v>0.27</v>
      </c>
    </row>
    <row r="211" spans="1:20" x14ac:dyDescent="0.3">
      <c r="A211" s="7">
        <f t="shared" si="22"/>
        <v>206</v>
      </c>
      <c r="B211" s="8">
        <v>13</v>
      </c>
      <c r="C211" s="9" t="str">
        <f t="shared" si="20"/>
        <v>3060x85185fe3A4e36079818Ba1d12705A9B6898997040xa60AdD2af71a4f50b3F94509E71a1e9DbDeA5dDa1578447unidade1860027</v>
      </c>
      <c r="D211" s="13" t="s">
        <v>273</v>
      </c>
      <c r="E211" s="8" t="s">
        <v>1163</v>
      </c>
      <c r="F211" s="8">
        <f t="shared" si="18"/>
        <v>0</v>
      </c>
      <c r="G211" s="8">
        <f t="shared" si="18"/>
        <v>0</v>
      </c>
      <c r="H211" s="8">
        <f t="shared" si="18"/>
        <v>1</v>
      </c>
      <c r="I211" s="8">
        <f t="shared" si="18"/>
        <v>9</v>
      </c>
      <c r="J211" s="8">
        <f t="shared" si="19"/>
        <v>1</v>
      </c>
      <c r="K211" s="15">
        <v>1.1574076779652387E-5</v>
      </c>
      <c r="M211" s="8">
        <f t="shared" si="21"/>
        <v>306</v>
      </c>
      <c r="N211" s="9" t="s">
        <v>63</v>
      </c>
      <c r="O211" s="9" t="s">
        <v>16</v>
      </c>
      <c r="P211" s="9">
        <v>1578</v>
      </c>
      <c r="Q211" s="9">
        <v>447</v>
      </c>
      <c r="R211" s="8" t="s">
        <v>17</v>
      </c>
      <c r="S211" s="11">
        <v>186</v>
      </c>
      <c r="T211" s="10">
        <v>0.27</v>
      </c>
    </row>
    <row r="212" spans="1:20" x14ac:dyDescent="0.3">
      <c r="A212" s="7">
        <f t="shared" si="22"/>
        <v>207</v>
      </c>
      <c r="B212" s="8">
        <v>220</v>
      </c>
      <c r="C212" s="9" t="str">
        <f t="shared" si="20"/>
        <v>3070x85185fe3A4e36079818Ba1d12705A9B6898997040xa60AdD2af71a4f50b3F94509E71a1e9DbDeA5dDa1629137unidade1810027</v>
      </c>
      <c r="D212" s="13" t="s">
        <v>274</v>
      </c>
      <c r="E212" s="8" t="s">
        <v>1164</v>
      </c>
      <c r="F212" s="8">
        <f t="shared" si="18"/>
        <v>0</v>
      </c>
      <c r="G212" s="8">
        <f t="shared" si="18"/>
        <v>0</v>
      </c>
      <c r="H212" s="8">
        <f t="shared" si="18"/>
        <v>1</v>
      </c>
      <c r="I212" s="8">
        <f t="shared" si="18"/>
        <v>1</v>
      </c>
      <c r="J212" s="8">
        <f t="shared" si="19"/>
        <v>1</v>
      </c>
      <c r="K212" s="15">
        <v>5.7870369346346706E-5</v>
      </c>
      <c r="M212" s="8">
        <f t="shared" si="21"/>
        <v>307</v>
      </c>
      <c r="N212" s="9" t="s">
        <v>63</v>
      </c>
      <c r="O212" s="9" t="s">
        <v>16</v>
      </c>
      <c r="P212" s="9">
        <v>1629</v>
      </c>
      <c r="Q212" s="9">
        <v>137</v>
      </c>
      <c r="R212" s="8" t="s">
        <v>17</v>
      </c>
      <c r="S212" s="11">
        <v>181</v>
      </c>
      <c r="T212" s="10">
        <v>0.27</v>
      </c>
    </row>
    <row r="213" spans="1:20" x14ac:dyDescent="0.3">
      <c r="A213" s="7">
        <f t="shared" si="22"/>
        <v>208</v>
      </c>
      <c r="B213" s="8">
        <v>348</v>
      </c>
      <c r="C213" s="9" t="str">
        <f t="shared" si="20"/>
        <v>3080x85185fe3A4e36079818Ba1d12705A9B6898997040xa60AdD2af71a4f50b3F94509E71a1e9DbDeA5dDa1323323unidade1720027</v>
      </c>
      <c r="D213" s="13" t="s">
        <v>275</v>
      </c>
      <c r="E213" s="8" t="s">
        <v>1165</v>
      </c>
      <c r="F213" s="8">
        <f t="shared" si="18"/>
        <v>0</v>
      </c>
      <c r="G213" s="8">
        <f t="shared" si="18"/>
        <v>0</v>
      </c>
      <c r="H213" s="8">
        <f t="shared" si="18"/>
        <v>8</v>
      </c>
      <c r="I213" s="8">
        <f t="shared" si="18"/>
        <v>5</v>
      </c>
      <c r="J213" s="8">
        <f t="shared" si="19"/>
        <v>8</v>
      </c>
      <c r="K213" s="15">
        <v>9.2592592409346253E-5</v>
      </c>
      <c r="M213" s="8">
        <f t="shared" si="21"/>
        <v>308</v>
      </c>
      <c r="N213" s="9" t="s">
        <v>63</v>
      </c>
      <c r="O213" s="9" t="s">
        <v>16</v>
      </c>
      <c r="P213" s="9">
        <v>1323</v>
      </c>
      <c r="Q213" s="9">
        <v>323</v>
      </c>
      <c r="R213" s="8" t="s">
        <v>17</v>
      </c>
      <c r="S213" s="11">
        <v>172</v>
      </c>
      <c r="T213" s="10">
        <v>0.27</v>
      </c>
    </row>
    <row r="214" spans="1:20" x14ac:dyDescent="0.3">
      <c r="A214" s="7">
        <f t="shared" si="22"/>
        <v>209</v>
      </c>
      <c r="B214" s="8">
        <v>55</v>
      </c>
      <c r="C214" s="9" t="str">
        <f t="shared" si="20"/>
        <v>3090x85185fe3A4e36079818Ba1d12705A9B6898997040xa60AdD2af71a4f50b3F94509E71a1e9DbDeA5dDa1701244unidade1390027</v>
      </c>
      <c r="D214" s="13" t="s">
        <v>276</v>
      </c>
      <c r="E214" s="8" t="s">
        <v>1166</v>
      </c>
      <c r="F214" s="8">
        <f t="shared" si="18"/>
        <v>0</v>
      </c>
      <c r="G214" s="8">
        <f t="shared" si="18"/>
        <v>0</v>
      </c>
      <c r="H214" s="8">
        <f t="shared" si="18"/>
        <v>1</v>
      </c>
      <c r="I214" s="8">
        <f t="shared" si="18"/>
        <v>8</v>
      </c>
      <c r="J214" s="8">
        <f t="shared" si="19"/>
        <v>1</v>
      </c>
      <c r="K214" s="15">
        <v>1.1574076779652387E-5</v>
      </c>
      <c r="M214" s="8">
        <f t="shared" si="21"/>
        <v>309</v>
      </c>
      <c r="N214" s="9" t="s">
        <v>63</v>
      </c>
      <c r="O214" s="9" t="s">
        <v>16</v>
      </c>
      <c r="P214" s="9">
        <v>1701</v>
      </c>
      <c r="Q214" s="9">
        <v>244</v>
      </c>
      <c r="R214" s="8" t="s">
        <v>17</v>
      </c>
      <c r="S214" s="11">
        <v>139</v>
      </c>
      <c r="T214" s="10">
        <v>0.27</v>
      </c>
    </row>
    <row r="215" spans="1:20" x14ac:dyDescent="0.3">
      <c r="A215" s="7">
        <f t="shared" si="22"/>
        <v>210</v>
      </c>
      <c r="B215" s="8">
        <v>910</v>
      </c>
      <c r="C215" s="9" t="str">
        <f t="shared" si="20"/>
        <v>3100x85185fe3A4e36079818Ba1d12705A9B6898997040xa60AdD2af71a4f50b3F94509E71a1e9DbDeA5dDa1364215unidade790027</v>
      </c>
      <c r="D215" s="13" t="s">
        <v>277</v>
      </c>
      <c r="E215" s="8" t="s">
        <v>677</v>
      </c>
      <c r="F215" s="8">
        <f t="shared" si="18"/>
        <v>0</v>
      </c>
      <c r="G215" s="8">
        <f t="shared" si="18"/>
        <v>0</v>
      </c>
      <c r="H215" s="8">
        <f t="shared" si="18"/>
        <v>0</v>
      </c>
      <c r="I215" s="8">
        <f t="shared" si="18"/>
        <v>9</v>
      </c>
      <c r="J215" s="8">
        <f t="shared" si="19"/>
        <v>0</v>
      </c>
      <c r="K215" s="15">
        <v>2.3148147738538682E-4</v>
      </c>
      <c r="M215" s="8">
        <f t="shared" si="21"/>
        <v>310</v>
      </c>
      <c r="N215" s="9" t="s">
        <v>63</v>
      </c>
      <c r="O215" s="9" t="s">
        <v>16</v>
      </c>
      <c r="P215" s="9">
        <v>1364</v>
      </c>
      <c r="Q215" s="9">
        <v>215</v>
      </c>
      <c r="R215" s="8" t="s">
        <v>17</v>
      </c>
      <c r="S215" s="11">
        <v>79</v>
      </c>
      <c r="T215" s="10">
        <v>0.27</v>
      </c>
    </row>
    <row r="216" spans="1:20" x14ac:dyDescent="0.3">
      <c r="A216" s="7">
        <f t="shared" si="22"/>
        <v>211</v>
      </c>
      <c r="B216" s="8">
        <v>116</v>
      </c>
      <c r="C216" s="9" t="str">
        <f t="shared" si="20"/>
        <v>3110x85185fe3A4e36079818Ba1d12705A9B6898997040xa60AdD2af71a4f50b3F94509E71a1e9DbDeA5dDa1861234unidade2240027</v>
      </c>
      <c r="D216" s="13" t="s">
        <v>278</v>
      </c>
      <c r="E216" s="8" t="s">
        <v>1167</v>
      </c>
      <c r="F216" s="8">
        <f t="shared" si="18"/>
        <v>0</v>
      </c>
      <c r="G216" s="8">
        <f t="shared" si="18"/>
        <v>0</v>
      </c>
      <c r="H216" s="8">
        <f t="shared" si="18"/>
        <v>8</v>
      </c>
      <c r="I216" s="8">
        <f t="shared" si="18"/>
        <v>1</v>
      </c>
      <c r="J216" s="8">
        <f t="shared" si="19"/>
        <v>8</v>
      </c>
      <c r="K216" s="15">
        <v>2.314814628334716E-5</v>
      </c>
      <c r="M216" s="8">
        <f t="shared" si="21"/>
        <v>311</v>
      </c>
      <c r="N216" s="9" t="s">
        <v>63</v>
      </c>
      <c r="O216" s="9" t="s">
        <v>16</v>
      </c>
      <c r="P216" s="9">
        <v>1861</v>
      </c>
      <c r="Q216" s="9">
        <v>234</v>
      </c>
      <c r="R216" s="8" t="s">
        <v>17</v>
      </c>
      <c r="S216" s="11">
        <v>224</v>
      </c>
      <c r="T216" s="10">
        <v>0.27</v>
      </c>
    </row>
    <row r="217" spans="1:20" x14ac:dyDescent="0.3">
      <c r="A217" s="7">
        <f t="shared" si="22"/>
        <v>212</v>
      </c>
      <c r="B217" s="8">
        <v>56</v>
      </c>
      <c r="C217" s="9" t="str">
        <f t="shared" si="20"/>
        <v>3120x85185fe3A4e36079818Ba1d12705A9B6898997040xa60AdD2af71a4f50b3F94509E71a1e9DbDeA5dDa1031309unidade1500027</v>
      </c>
      <c r="D217" s="13" t="s">
        <v>279</v>
      </c>
      <c r="E217" s="8" t="s">
        <v>1168</v>
      </c>
      <c r="F217" s="8">
        <f t="shared" si="18"/>
        <v>0</v>
      </c>
      <c r="G217" s="8">
        <f t="shared" si="18"/>
        <v>0</v>
      </c>
      <c r="H217" s="8">
        <f t="shared" si="18"/>
        <v>1</v>
      </c>
      <c r="I217" s="8">
        <f t="shared" si="18"/>
        <v>1</v>
      </c>
      <c r="J217" s="8">
        <f t="shared" si="19"/>
        <v>1</v>
      </c>
      <c r="K217" s="15">
        <v>2.314814628334716E-5</v>
      </c>
      <c r="M217" s="8">
        <f t="shared" si="21"/>
        <v>312</v>
      </c>
      <c r="N217" s="9" t="s">
        <v>63</v>
      </c>
      <c r="O217" s="9" t="s">
        <v>16</v>
      </c>
      <c r="P217" s="9">
        <v>1031</v>
      </c>
      <c r="Q217" s="9">
        <v>309</v>
      </c>
      <c r="R217" s="8" t="s">
        <v>17</v>
      </c>
      <c r="S217" s="11">
        <v>150</v>
      </c>
      <c r="T217" s="10">
        <v>0.27</v>
      </c>
    </row>
    <row r="218" spans="1:20" x14ac:dyDescent="0.3">
      <c r="A218" s="7">
        <f t="shared" si="22"/>
        <v>213</v>
      </c>
      <c r="B218" s="8">
        <v>283</v>
      </c>
      <c r="C218" s="9" t="str">
        <f t="shared" si="20"/>
        <v>3130x85185fe3A4e36079818Ba1d12705A9B6898997040xa60AdD2af71a4f50b3F94509E71a1e9DbDeA5dDa1566133unidade1480027</v>
      </c>
      <c r="D218" s="13" t="s">
        <v>280</v>
      </c>
      <c r="E218" s="8" t="s">
        <v>1169</v>
      </c>
      <c r="F218" s="8">
        <f t="shared" si="18"/>
        <v>0</v>
      </c>
      <c r="G218" s="8">
        <f t="shared" si="18"/>
        <v>0</v>
      </c>
      <c r="H218" s="8">
        <f t="shared" si="18"/>
        <v>1</v>
      </c>
      <c r="I218" s="8">
        <f t="shared" si="18"/>
        <v>0</v>
      </c>
      <c r="J218" s="8">
        <f t="shared" si="19"/>
        <v>1</v>
      </c>
      <c r="K218" s="15">
        <v>6.9444446125999093E-5</v>
      </c>
      <c r="M218" s="8">
        <f t="shared" si="21"/>
        <v>313</v>
      </c>
      <c r="N218" s="9" t="s">
        <v>63</v>
      </c>
      <c r="O218" s="9" t="s">
        <v>16</v>
      </c>
      <c r="P218" s="9">
        <v>1566</v>
      </c>
      <c r="Q218" s="9">
        <v>133</v>
      </c>
      <c r="R218" s="8" t="s">
        <v>17</v>
      </c>
      <c r="S218" s="11">
        <v>148</v>
      </c>
      <c r="T218" s="10">
        <v>0.27</v>
      </c>
    </row>
    <row r="219" spans="1:20" x14ac:dyDescent="0.3">
      <c r="A219" s="7">
        <f t="shared" si="22"/>
        <v>214</v>
      </c>
      <c r="B219" s="8">
        <v>1083</v>
      </c>
      <c r="C219" s="9" t="str">
        <f t="shared" si="20"/>
        <v>3140x85185fe3A4e36079818Ba1d12705A9B6898997040xa60AdD2af71a4f50b3F94509E71a1e9DbDeA5dDa1300493unidade1500027</v>
      </c>
      <c r="D219" s="13" t="s">
        <v>281</v>
      </c>
      <c r="E219" s="8" t="s">
        <v>1170</v>
      </c>
      <c r="F219" s="8">
        <f t="shared" si="18"/>
        <v>0</v>
      </c>
      <c r="G219" s="8">
        <f t="shared" si="18"/>
        <v>0</v>
      </c>
      <c r="H219" s="8">
        <f t="shared" si="18"/>
        <v>4</v>
      </c>
      <c r="I219" s="8">
        <f t="shared" si="18"/>
        <v>1</v>
      </c>
      <c r="J219" s="8">
        <f t="shared" si="19"/>
        <v>4</v>
      </c>
      <c r="K219" s="15">
        <v>2.7777777722803876E-4</v>
      </c>
      <c r="M219" s="8">
        <f t="shared" si="21"/>
        <v>314</v>
      </c>
      <c r="N219" s="9" t="s">
        <v>63</v>
      </c>
      <c r="O219" s="9" t="s">
        <v>16</v>
      </c>
      <c r="P219" s="9">
        <v>1300</v>
      </c>
      <c r="Q219" s="9">
        <v>493</v>
      </c>
      <c r="R219" s="8" t="s">
        <v>17</v>
      </c>
      <c r="S219" s="11">
        <v>150</v>
      </c>
      <c r="T219" s="10">
        <v>0.27</v>
      </c>
    </row>
    <row r="220" spans="1:20" x14ac:dyDescent="0.3">
      <c r="A220" s="7">
        <f t="shared" si="22"/>
        <v>215</v>
      </c>
      <c r="B220" s="8">
        <v>29</v>
      </c>
      <c r="C220" s="9" t="str">
        <f t="shared" si="20"/>
        <v>3150x85185fe3A4e36079818Ba1d12705A9B6898997040xa60AdD2af71a4f50b3F94509E71a1e9DbDeA5dDa1826435unidade1780027</v>
      </c>
      <c r="D220" s="13" t="s">
        <v>282</v>
      </c>
      <c r="E220" s="8" t="s">
        <v>1171</v>
      </c>
      <c r="F220" s="8">
        <f t="shared" si="18"/>
        <v>0</v>
      </c>
      <c r="G220" s="8">
        <f t="shared" si="18"/>
        <v>0</v>
      </c>
      <c r="H220" s="8">
        <f t="shared" si="18"/>
        <v>1</v>
      </c>
      <c r="I220" s="8">
        <f t="shared" si="18"/>
        <v>6</v>
      </c>
      <c r="J220" s="8">
        <f t="shared" si="19"/>
        <v>1</v>
      </c>
      <c r="K220" s="15">
        <v>0</v>
      </c>
      <c r="M220" s="8">
        <f t="shared" si="21"/>
        <v>315</v>
      </c>
      <c r="N220" s="9" t="s">
        <v>63</v>
      </c>
      <c r="O220" s="9" t="s">
        <v>16</v>
      </c>
      <c r="P220" s="9">
        <v>1826</v>
      </c>
      <c r="Q220" s="9">
        <v>435</v>
      </c>
      <c r="R220" s="8" t="s">
        <v>17</v>
      </c>
      <c r="S220" s="11">
        <v>178</v>
      </c>
      <c r="T220" s="10">
        <v>0.27</v>
      </c>
    </row>
    <row r="221" spans="1:20" x14ac:dyDescent="0.3">
      <c r="A221" s="7">
        <f t="shared" si="22"/>
        <v>216</v>
      </c>
      <c r="B221" s="8">
        <v>2</v>
      </c>
      <c r="C221" s="9" t="str">
        <f t="shared" si="20"/>
        <v>3160x85185fe3A4e36079818Ba1d12705A9B6898997040xa60AdD2af71a4f50b3F94509E71a1e9DbDeA5dDa1582410unidade1930027</v>
      </c>
      <c r="D221" s="13" t="s">
        <v>283</v>
      </c>
      <c r="E221" s="8" t="s">
        <v>683</v>
      </c>
      <c r="F221" s="8">
        <f t="shared" si="18"/>
        <v>0</v>
      </c>
      <c r="G221" s="8">
        <f t="shared" si="18"/>
        <v>0</v>
      </c>
      <c r="H221" s="8">
        <f t="shared" si="18"/>
        <v>0</v>
      </c>
      <c r="I221" s="8">
        <f t="shared" si="18"/>
        <v>1</v>
      </c>
      <c r="J221" s="8">
        <f t="shared" si="19"/>
        <v>0</v>
      </c>
      <c r="K221" s="15">
        <v>0</v>
      </c>
      <c r="M221" s="8">
        <f t="shared" si="21"/>
        <v>316</v>
      </c>
      <c r="N221" s="9" t="s">
        <v>63</v>
      </c>
      <c r="O221" s="9" t="s">
        <v>16</v>
      </c>
      <c r="P221" s="9">
        <v>1582</v>
      </c>
      <c r="Q221" s="9">
        <v>410</v>
      </c>
      <c r="R221" s="8" t="s">
        <v>17</v>
      </c>
      <c r="S221" s="11">
        <v>193</v>
      </c>
      <c r="T221" s="10">
        <v>0.27</v>
      </c>
    </row>
    <row r="222" spans="1:20" x14ac:dyDescent="0.3">
      <c r="A222" s="7">
        <f t="shared" si="22"/>
        <v>217</v>
      </c>
      <c r="B222" s="8">
        <v>156</v>
      </c>
      <c r="C222" s="9" t="str">
        <f t="shared" si="20"/>
        <v>3170x85185fe3A4e36079818Ba1d12705A9B6898997040xa60AdD2af71a4f50b3F94509E71a1e9DbDeA5dDa1816293unidade960027</v>
      </c>
      <c r="D222" s="13" t="s">
        <v>284</v>
      </c>
      <c r="E222" s="8" t="s">
        <v>1172</v>
      </c>
      <c r="F222" s="8">
        <f t="shared" si="18"/>
        <v>0</v>
      </c>
      <c r="G222" s="8">
        <f t="shared" si="18"/>
        <v>0</v>
      </c>
      <c r="H222" s="8">
        <f t="shared" si="18"/>
        <v>1</v>
      </c>
      <c r="I222" s="8">
        <f t="shared" si="18"/>
        <v>4</v>
      </c>
      <c r="J222" s="8">
        <f t="shared" si="19"/>
        <v>1</v>
      </c>
      <c r="K222" s="15">
        <v>3.4722223062999547E-5</v>
      </c>
      <c r="M222" s="8">
        <f t="shared" si="21"/>
        <v>317</v>
      </c>
      <c r="N222" s="9" t="s">
        <v>63</v>
      </c>
      <c r="O222" s="9" t="s">
        <v>16</v>
      </c>
      <c r="P222" s="9">
        <v>1816</v>
      </c>
      <c r="Q222" s="9">
        <v>293</v>
      </c>
      <c r="R222" s="8" t="s">
        <v>17</v>
      </c>
      <c r="S222" s="11">
        <v>96</v>
      </c>
      <c r="T222" s="10">
        <v>0.27</v>
      </c>
    </row>
    <row r="223" spans="1:20" x14ac:dyDescent="0.3">
      <c r="A223" s="7">
        <f t="shared" si="22"/>
        <v>218</v>
      </c>
      <c r="B223" s="8">
        <v>243</v>
      </c>
      <c r="C223" s="9" t="str">
        <f t="shared" si="20"/>
        <v>3180x85185fe3A4e36079818Ba1d12705A9B6898997040xa60AdD2af71a4f50b3F94509E71a1e9DbDeA5dDa1782178unidade1800027</v>
      </c>
      <c r="D223" s="13" t="s">
        <v>285</v>
      </c>
      <c r="E223" s="8" t="s">
        <v>1173</v>
      </c>
      <c r="F223" s="8">
        <f t="shared" si="18"/>
        <v>0</v>
      </c>
      <c r="G223" s="8">
        <f t="shared" si="18"/>
        <v>0</v>
      </c>
      <c r="H223" s="8">
        <f t="shared" si="18"/>
        <v>1</v>
      </c>
      <c r="I223" s="8">
        <f t="shared" si="18"/>
        <v>2</v>
      </c>
      <c r="J223" s="8">
        <f t="shared" si="19"/>
        <v>1</v>
      </c>
      <c r="K223" s="15">
        <v>6.9444438850041479E-5</v>
      </c>
      <c r="M223" s="8">
        <f t="shared" si="21"/>
        <v>318</v>
      </c>
      <c r="N223" s="9" t="s">
        <v>63</v>
      </c>
      <c r="O223" s="9" t="s">
        <v>16</v>
      </c>
      <c r="P223" s="9">
        <v>1782</v>
      </c>
      <c r="Q223" s="9">
        <v>178</v>
      </c>
      <c r="R223" s="8" t="s">
        <v>17</v>
      </c>
      <c r="S223" s="11">
        <v>180</v>
      </c>
      <c r="T223" s="10">
        <v>0.27</v>
      </c>
    </row>
    <row r="224" spans="1:20" x14ac:dyDescent="0.3">
      <c r="A224" s="7">
        <f t="shared" si="22"/>
        <v>219</v>
      </c>
      <c r="B224" s="8">
        <v>256</v>
      </c>
      <c r="C224" s="9" t="str">
        <f t="shared" si="20"/>
        <v>3190x85185fe3A4e36079818Ba1d12705A9B6898997040xa60AdD2af71a4f50b3F94509E71a1e9DbDeA5dDa1962287unidade1620027</v>
      </c>
      <c r="D224" s="13" t="s">
        <v>286</v>
      </c>
      <c r="E224" s="8" t="s">
        <v>1174</v>
      </c>
      <c r="F224" s="8">
        <f t="shared" si="18"/>
        <v>0</v>
      </c>
      <c r="G224" s="8">
        <f t="shared" si="18"/>
        <v>0</v>
      </c>
      <c r="H224" s="8">
        <f t="shared" si="18"/>
        <v>1</v>
      </c>
      <c r="I224" s="8">
        <f t="shared" si="18"/>
        <v>1</v>
      </c>
      <c r="J224" s="8">
        <f t="shared" si="19"/>
        <v>1</v>
      </c>
      <c r="K224" s="15">
        <v>6.9444446125999093E-5</v>
      </c>
      <c r="M224" s="8">
        <f t="shared" si="21"/>
        <v>319</v>
      </c>
      <c r="N224" s="9" t="s">
        <v>63</v>
      </c>
      <c r="O224" s="9" t="s">
        <v>16</v>
      </c>
      <c r="P224" s="9">
        <v>1962</v>
      </c>
      <c r="Q224" s="9">
        <v>287</v>
      </c>
      <c r="R224" s="8" t="s">
        <v>17</v>
      </c>
      <c r="S224" s="11">
        <v>162</v>
      </c>
      <c r="T224" s="10">
        <v>0.27</v>
      </c>
    </row>
    <row r="225" spans="1:20" x14ac:dyDescent="0.3">
      <c r="A225" s="7">
        <f t="shared" si="22"/>
        <v>220</v>
      </c>
      <c r="B225" s="8">
        <v>40</v>
      </c>
      <c r="C225" s="9" t="str">
        <f t="shared" si="20"/>
        <v>3200x85185fe3A4e36079818Ba1d12705A9B6898997040xa60AdD2af71a4f50b3F94509E71a1e9DbDeA5dDa1228312unidade560027</v>
      </c>
      <c r="D225" s="13" t="s">
        <v>287</v>
      </c>
      <c r="E225" s="8" t="s">
        <v>1175</v>
      </c>
      <c r="F225" s="8">
        <f t="shared" si="18"/>
        <v>0</v>
      </c>
      <c r="G225" s="8">
        <f t="shared" si="18"/>
        <v>0</v>
      </c>
      <c r="H225" s="8">
        <f t="shared" si="18"/>
        <v>5</v>
      </c>
      <c r="I225" s="8">
        <f t="shared" si="18"/>
        <v>1</v>
      </c>
      <c r="J225" s="8">
        <f t="shared" si="19"/>
        <v>5</v>
      </c>
      <c r="K225" s="15">
        <v>1.1574076779652387E-5</v>
      </c>
      <c r="M225" s="8">
        <f t="shared" si="21"/>
        <v>320</v>
      </c>
      <c r="N225" s="9" t="s">
        <v>63</v>
      </c>
      <c r="O225" s="9" t="s">
        <v>16</v>
      </c>
      <c r="P225" s="9">
        <v>1228</v>
      </c>
      <c r="Q225" s="9">
        <v>312</v>
      </c>
      <c r="R225" s="8" t="s">
        <v>17</v>
      </c>
      <c r="S225" s="11">
        <v>56</v>
      </c>
      <c r="T225" s="10">
        <v>0.27</v>
      </c>
    </row>
    <row r="226" spans="1:20" x14ac:dyDescent="0.3">
      <c r="A226" s="7">
        <f t="shared" si="22"/>
        <v>221</v>
      </c>
      <c r="B226" s="8">
        <v>414</v>
      </c>
      <c r="C226" s="9" t="str">
        <f t="shared" si="20"/>
        <v>3210x85185fe3A4e36079818Ba1d12705A9B6898997040xa60AdD2af71a4f50b3F94509E71a1e9DbDeA5dDa1314221unidade1150027</v>
      </c>
      <c r="D226" s="13" t="s">
        <v>288</v>
      </c>
      <c r="E226" s="8" t="s">
        <v>1176</v>
      </c>
      <c r="F226" s="8">
        <f t="shared" si="18"/>
        <v>0</v>
      </c>
      <c r="G226" s="8">
        <f t="shared" si="18"/>
        <v>0</v>
      </c>
      <c r="H226" s="8">
        <f t="shared" si="18"/>
        <v>1</v>
      </c>
      <c r="I226" s="8">
        <f t="shared" si="18"/>
        <v>5</v>
      </c>
      <c r="J226" s="8">
        <f t="shared" si="19"/>
        <v>1</v>
      </c>
      <c r="K226" s="15">
        <v>1.0416666918899864E-4</v>
      </c>
      <c r="M226" s="8">
        <f t="shared" si="21"/>
        <v>321</v>
      </c>
      <c r="N226" s="9" t="s">
        <v>63</v>
      </c>
      <c r="O226" s="9" t="s">
        <v>16</v>
      </c>
      <c r="P226" s="9">
        <v>1314</v>
      </c>
      <c r="Q226" s="9">
        <v>221</v>
      </c>
      <c r="R226" s="8" t="s">
        <v>17</v>
      </c>
      <c r="S226" s="11">
        <v>115</v>
      </c>
      <c r="T226" s="10">
        <v>0.27</v>
      </c>
    </row>
    <row r="227" spans="1:20" x14ac:dyDescent="0.3">
      <c r="A227" s="7">
        <f t="shared" si="22"/>
        <v>222</v>
      </c>
      <c r="B227" s="8">
        <v>194</v>
      </c>
      <c r="C227" s="9" t="str">
        <f t="shared" si="20"/>
        <v>3220x85185fe3A4e36079818Ba1d12705A9B6898997040xa60AdD2af71a4f50b3F94509E71a1e9DbDeA5dDa1037296unidade890027</v>
      </c>
      <c r="D227" s="13" t="s">
        <v>289</v>
      </c>
      <c r="E227" s="8" t="s">
        <v>1177</v>
      </c>
      <c r="F227" s="8">
        <f t="shared" si="18"/>
        <v>0</v>
      </c>
      <c r="G227" s="8">
        <f t="shared" si="18"/>
        <v>0</v>
      </c>
      <c r="H227" s="8">
        <f t="shared" si="18"/>
        <v>8</v>
      </c>
      <c r="I227" s="8">
        <f t="shared" si="18"/>
        <v>1</v>
      </c>
      <c r="J227" s="8">
        <f t="shared" si="19"/>
        <v>8</v>
      </c>
      <c r="K227" s="15">
        <v>4.6296292566694319E-5</v>
      </c>
      <c r="M227" s="8">
        <f t="shared" si="21"/>
        <v>322</v>
      </c>
      <c r="N227" s="9" t="s">
        <v>63</v>
      </c>
      <c r="O227" s="9" t="s">
        <v>16</v>
      </c>
      <c r="P227" s="9">
        <v>1037</v>
      </c>
      <c r="Q227" s="9">
        <v>296</v>
      </c>
      <c r="R227" s="8" t="s">
        <v>17</v>
      </c>
      <c r="S227" s="11">
        <v>89</v>
      </c>
      <c r="T227" s="10">
        <v>0.27</v>
      </c>
    </row>
    <row r="228" spans="1:20" x14ac:dyDescent="0.3">
      <c r="A228" s="7">
        <f t="shared" si="22"/>
        <v>223</v>
      </c>
      <c r="B228" s="8">
        <v>212</v>
      </c>
      <c r="C228" s="9" t="str">
        <f t="shared" si="20"/>
        <v>3230x85185fe3A4e36079818Ba1d12705A9B6898997040xa60AdD2af71a4f50b3F94509E71a1e9DbDeA5dDa1815142unidade1470027</v>
      </c>
      <c r="D228" s="13" t="s">
        <v>290</v>
      </c>
      <c r="E228" s="8" t="s">
        <v>1178</v>
      </c>
      <c r="F228" s="8">
        <f t="shared" si="18"/>
        <v>0</v>
      </c>
      <c r="G228" s="8">
        <f t="shared" si="18"/>
        <v>0</v>
      </c>
      <c r="H228" s="8">
        <f t="shared" si="18"/>
        <v>1</v>
      </c>
      <c r="I228" s="8">
        <f t="shared" si="18"/>
        <v>8</v>
      </c>
      <c r="J228" s="8">
        <f t="shared" si="19"/>
        <v>1</v>
      </c>
      <c r="K228" s="15">
        <v>5.7870369346346706E-5</v>
      </c>
      <c r="M228" s="8">
        <f t="shared" si="21"/>
        <v>323</v>
      </c>
      <c r="N228" s="9" t="s">
        <v>63</v>
      </c>
      <c r="O228" s="9" t="s">
        <v>16</v>
      </c>
      <c r="P228" s="9">
        <v>1815</v>
      </c>
      <c r="Q228" s="9">
        <v>142</v>
      </c>
      <c r="R228" s="8" t="s">
        <v>17</v>
      </c>
      <c r="S228" s="11">
        <v>147</v>
      </c>
      <c r="T228" s="10">
        <v>0.27</v>
      </c>
    </row>
    <row r="229" spans="1:20" x14ac:dyDescent="0.3">
      <c r="A229" s="7">
        <f t="shared" si="22"/>
        <v>224</v>
      </c>
      <c r="B229" s="8">
        <v>650</v>
      </c>
      <c r="C229" s="9" t="str">
        <f t="shared" si="20"/>
        <v>3240x85185fe3A4e36079818Ba1d12705A9B6898997040xa60AdD2af71a4f50b3F94509E71a1e9DbDeA5dDa1315325unidade1160027</v>
      </c>
      <c r="D229" s="13" t="s">
        <v>291</v>
      </c>
      <c r="E229" s="8" t="s">
        <v>1179</v>
      </c>
      <c r="F229" s="8">
        <f t="shared" si="18"/>
        <v>0</v>
      </c>
      <c r="G229" s="8">
        <f t="shared" si="18"/>
        <v>0</v>
      </c>
      <c r="H229" s="8">
        <f t="shared" si="18"/>
        <v>8</v>
      </c>
      <c r="I229" s="8">
        <f t="shared" si="18"/>
        <v>1</v>
      </c>
      <c r="J229" s="8">
        <f t="shared" si="19"/>
        <v>8</v>
      </c>
      <c r="K229" s="15">
        <v>1.7361111531499773E-4</v>
      </c>
      <c r="M229" s="8">
        <f t="shared" si="21"/>
        <v>324</v>
      </c>
      <c r="N229" s="9" t="s">
        <v>63</v>
      </c>
      <c r="O229" s="9" t="s">
        <v>16</v>
      </c>
      <c r="P229" s="9">
        <v>1315</v>
      </c>
      <c r="Q229" s="9">
        <v>325</v>
      </c>
      <c r="R229" s="8" t="s">
        <v>17</v>
      </c>
      <c r="S229" s="11">
        <v>116</v>
      </c>
      <c r="T229" s="10">
        <v>0.27</v>
      </c>
    </row>
    <row r="230" spans="1:20" x14ac:dyDescent="0.3">
      <c r="A230" s="7">
        <f t="shared" si="22"/>
        <v>225</v>
      </c>
      <c r="B230" s="8">
        <v>279</v>
      </c>
      <c r="C230" s="9" t="str">
        <f t="shared" si="20"/>
        <v>3250x85185fe3A4e36079818Ba1d12705A9B6898997040xa60AdD2af71a4f50b3F94509E71a1e9DbDeA5dDa1703402unidade1910027</v>
      </c>
      <c r="D230" s="13" t="s">
        <v>292</v>
      </c>
      <c r="E230" s="8" t="s">
        <v>1180</v>
      </c>
      <c r="F230" s="8">
        <f t="shared" si="18"/>
        <v>0</v>
      </c>
      <c r="G230" s="8">
        <f t="shared" si="18"/>
        <v>0</v>
      </c>
      <c r="H230" s="8">
        <f t="shared" si="18"/>
        <v>4</v>
      </c>
      <c r="I230" s="8">
        <f t="shared" si="18"/>
        <v>0</v>
      </c>
      <c r="J230" s="8">
        <f t="shared" si="19"/>
        <v>4</v>
      </c>
      <c r="K230" s="15">
        <v>8.1018515629693866E-5</v>
      </c>
      <c r="M230" s="8">
        <f t="shared" si="21"/>
        <v>325</v>
      </c>
      <c r="N230" s="9" t="s">
        <v>63</v>
      </c>
      <c r="O230" s="9" t="s">
        <v>16</v>
      </c>
      <c r="P230" s="9">
        <v>1703</v>
      </c>
      <c r="Q230" s="9">
        <v>402</v>
      </c>
      <c r="R230" s="8" t="s">
        <v>17</v>
      </c>
      <c r="S230" s="11">
        <v>191</v>
      </c>
      <c r="T230" s="10">
        <v>0.27</v>
      </c>
    </row>
    <row r="231" spans="1:20" x14ac:dyDescent="0.3">
      <c r="A231" s="7">
        <f t="shared" si="22"/>
        <v>226</v>
      </c>
      <c r="B231" s="8">
        <v>34</v>
      </c>
      <c r="C231" s="9" t="str">
        <f t="shared" si="20"/>
        <v>3260x85185fe3A4e36079818Ba1d12705A9B6898997040xa60AdD2af71a4f50b3F94509E71a1e9DbDeA5dDa1565110unidade1020027</v>
      </c>
      <c r="D231" s="13" t="s">
        <v>293</v>
      </c>
      <c r="E231" s="8" t="s">
        <v>1181</v>
      </c>
      <c r="F231" s="8">
        <f t="shared" si="18"/>
        <v>0</v>
      </c>
      <c r="G231" s="8">
        <f t="shared" si="18"/>
        <v>0</v>
      </c>
      <c r="H231" s="8">
        <f t="shared" si="18"/>
        <v>1</v>
      </c>
      <c r="I231" s="8">
        <f t="shared" si="18"/>
        <v>7</v>
      </c>
      <c r="J231" s="8">
        <f t="shared" si="19"/>
        <v>1</v>
      </c>
      <c r="K231" s="15">
        <v>0</v>
      </c>
      <c r="M231" s="8">
        <f t="shared" si="21"/>
        <v>326</v>
      </c>
      <c r="N231" s="9" t="s">
        <v>63</v>
      </c>
      <c r="O231" s="9" t="s">
        <v>16</v>
      </c>
      <c r="P231" s="9">
        <v>1565</v>
      </c>
      <c r="Q231" s="9">
        <v>110</v>
      </c>
      <c r="R231" s="8" t="s">
        <v>17</v>
      </c>
      <c r="S231" s="11">
        <v>102</v>
      </c>
      <c r="T231" s="10">
        <v>0.27</v>
      </c>
    </row>
    <row r="232" spans="1:20" x14ac:dyDescent="0.3">
      <c r="A232" s="7">
        <f t="shared" si="22"/>
        <v>227</v>
      </c>
      <c r="B232" s="8">
        <v>160</v>
      </c>
      <c r="C232" s="9" t="str">
        <f t="shared" si="20"/>
        <v>3270x85185fe3A4e36079818Ba1d12705A9B6898997040xa60AdD2af71a4f50b3F94509E71a1e9DbDeA5dDa1852350unidade1360027</v>
      </c>
      <c r="D232" s="13" t="s">
        <v>294</v>
      </c>
      <c r="E232" s="8" t="s">
        <v>1182</v>
      </c>
      <c r="F232" s="8">
        <f t="shared" si="18"/>
        <v>0</v>
      </c>
      <c r="G232" s="8">
        <f t="shared" si="18"/>
        <v>0</v>
      </c>
      <c r="H232" s="8">
        <f t="shared" si="18"/>
        <v>1</v>
      </c>
      <c r="I232" s="8">
        <f t="shared" si="18"/>
        <v>8</v>
      </c>
      <c r="J232" s="8">
        <f t="shared" si="19"/>
        <v>1</v>
      </c>
      <c r="K232" s="15">
        <v>3.4722223062999547E-5</v>
      </c>
      <c r="M232" s="8">
        <f t="shared" si="21"/>
        <v>327</v>
      </c>
      <c r="N232" s="9" t="s">
        <v>63</v>
      </c>
      <c r="O232" s="9" t="s">
        <v>16</v>
      </c>
      <c r="P232" s="9">
        <v>1852</v>
      </c>
      <c r="Q232" s="9">
        <v>350</v>
      </c>
      <c r="R232" s="8" t="s">
        <v>17</v>
      </c>
      <c r="S232" s="11">
        <v>136</v>
      </c>
      <c r="T232" s="10">
        <v>0.27</v>
      </c>
    </row>
    <row r="233" spans="1:20" x14ac:dyDescent="0.3">
      <c r="A233" s="7">
        <f t="shared" si="22"/>
        <v>228</v>
      </c>
      <c r="B233" s="8">
        <v>252</v>
      </c>
      <c r="C233" s="9" t="str">
        <f t="shared" si="20"/>
        <v>3280x85185fe3A4e36079818Ba1d12705A9B6898997040xa60AdD2af71a4f50b3F94509E71a1e9DbDeA5dDa1664453unidade1960027</v>
      </c>
      <c r="D233" s="13" t="s">
        <v>295</v>
      </c>
      <c r="E233" s="8" t="s">
        <v>1183</v>
      </c>
      <c r="F233" s="8">
        <f t="shared" si="18"/>
        <v>0</v>
      </c>
      <c r="G233" s="8">
        <f t="shared" si="18"/>
        <v>0</v>
      </c>
      <c r="H233" s="8">
        <f t="shared" si="18"/>
        <v>8</v>
      </c>
      <c r="I233" s="8">
        <f t="shared" si="18"/>
        <v>0</v>
      </c>
      <c r="J233" s="8">
        <f t="shared" si="19"/>
        <v>8</v>
      </c>
      <c r="K233" s="15">
        <v>6.9444438850041479E-5</v>
      </c>
      <c r="M233" s="8">
        <f t="shared" si="21"/>
        <v>328</v>
      </c>
      <c r="N233" s="9" t="s">
        <v>63</v>
      </c>
      <c r="O233" s="9" t="s">
        <v>16</v>
      </c>
      <c r="P233" s="9">
        <v>1664</v>
      </c>
      <c r="Q233" s="9">
        <v>453</v>
      </c>
      <c r="R233" s="8" t="s">
        <v>17</v>
      </c>
      <c r="S233" s="11">
        <v>196</v>
      </c>
      <c r="T233" s="10">
        <v>0.27</v>
      </c>
    </row>
    <row r="234" spans="1:20" x14ac:dyDescent="0.3">
      <c r="A234" s="7">
        <f t="shared" si="22"/>
        <v>229</v>
      </c>
      <c r="B234" s="8">
        <v>339</v>
      </c>
      <c r="C234" s="9" t="str">
        <f t="shared" si="20"/>
        <v>3290x85185fe3A4e36079818Ba1d12705A9B6898997040xa60AdD2af71a4f50b3F94509E71a1e9DbDeA5dDa1619484unidade980027</v>
      </c>
      <c r="D234" s="13" t="s">
        <v>296</v>
      </c>
      <c r="E234" s="8" t="s">
        <v>1184</v>
      </c>
      <c r="F234" s="8">
        <f t="shared" ref="F234:I297" si="23">IFERROR(VALUE(MID($E234,F$1,1)),1)</f>
        <v>0</v>
      </c>
      <c r="G234" s="8">
        <f t="shared" si="23"/>
        <v>0</v>
      </c>
      <c r="H234" s="8">
        <f t="shared" si="23"/>
        <v>3</v>
      </c>
      <c r="I234" s="8">
        <f t="shared" si="23"/>
        <v>2</v>
      </c>
      <c r="J234" s="8">
        <f t="shared" ref="J234:J297" si="24">SUM(F234:H234)</f>
        <v>3</v>
      </c>
      <c r="K234" s="15">
        <v>1.1574074596865103E-4</v>
      </c>
      <c r="M234" s="8">
        <f t="shared" si="21"/>
        <v>329</v>
      </c>
      <c r="N234" s="9" t="s">
        <v>63</v>
      </c>
      <c r="O234" s="9" t="s">
        <v>16</v>
      </c>
      <c r="P234" s="9">
        <v>1619</v>
      </c>
      <c r="Q234" s="9">
        <v>484</v>
      </c>
      <c r="R234" s="8" t="s">
        <v>17</v>
      </c>
      <c r="S234" s="11">
        <v>98</v>
      </c>
      <c r="T234" s="10">
        <v>0.27</v>
      </c>
    </row>
    <row r="235" spans="1:20" x14ac:dyDescent="0.3">
      <c r="A235" s="7">
        <f t="shared" si="22"/>
        <v>230</v>
      </c>
      <c r="B235" s="8">
        <v>94</v>
      </c>
      <c r="C235" s="9" t="str">
        <f t="shared" si="20"/>
        <v>3300x85185fe3A4e36079818Ba1d12705A9B6898997040xa60AdD2af71a4f50b3F94509E71a1e9DbDeA5dDa1943477unidade1750027</v>
      </c>
      <c r="D235" s="13" t="s">
        <v>297</v>
      </c>
      <c r="E235" s="8" t="s">
        <v>1185</v>
      </c>
      <c r="F235" s="8">
        <f t="shared" si="23"/>
        <v>0</v>
      </c>
      <c r="G235" s="8">
        <f t="shared" si="23"/>
        <v>0</v>
      </c>
      <c r="H235" s="8">
        <f t="shared" si="23"/>
        <v>6</v>
      </c>
      <c r="I235" s="8">
        <f t="shared" si="23"/>
        <v>6</v>
      </c>
      <c r="J235" s="8">
        <f t="shared" si="24"/>
        <v>6</v>
      </c>
      <c r="K235" s="15">
        <v>4.6296292566694319E-5</v>
      </c>
      <c r="M235" s="8">
        <f t="shared" si="21"/>
        <v>330</v>
      </c>
      <c r="N235" s="9" t="s">
        <v>63</v>
      </c>
      <c r="O235" s="9" t="s">
        <v>16</v>
      </c>
      <c r="P235" s="9">
        <v>1943</v>
      </c>
      <c r="Q235" s="9">
        <v>477</v>
      </c>
      <c r="R235" s="8" t="s">
        <v>17</v>
      </c>
      <c r="S235" s="11">
        <v>175</v>
      </c>
      <c r="T235" s="10">
        <v>0.27</v>
      </c>
    </row>
    <row r="236" spans="1:20" x14ac:dyDescent="0.3">
      <c r="A236" s="7">
        <f t="shared" si="22"/>
        <v>231</v>
      </c>
      <c r="B236" s="8">
        <v>12</v>
      </c>
      <c r="C236" s="9" t="str">
        <f t="shared" si="20"/>
        <v>3310x85185fe3A4e36079818Ba1d12705A9B6898997040xa60AdD2af71a4f50b3F94509E71a1e9DbDeA5dDa1037363unidade1220027</v>
      </c>
      <c r="D236" s="13" t="s">
        <v>298</v>
      </c>
      <c r="E236" s="8" t="s">
        <v>1186</v>
      </c>
      <c r="F236" s="8">
        <f t="shared" si="23"/>
        <v>0</v>
      </c>
      <c r="G236" s="8">
        <f t="shared" si="23"/>
        <v>0</v>
      </c>
      <c r="H236" s="8">
        <f t="shared" si="23"/>
        <v>1</v>
      </c>
      <c r="I236" s="8">
        <f t="shared" si="23"/>
        <v>1</v>
      </c>
      <c r="J236" s="8">
        <f t="shared" si="24"/>
        <v>1</v>
      </c>
      <c r="K236" s="15">
        <v>0</v>
      </c>
      <c r="M236" s="8">
        <f t="shared" si="21"/>
        <v>331</v>
      </c>
      <c r="N236" s="9" t="s">
        <v>63</v>
      </c>
      <c r="O236" s="9" t="s">
        <v>16</v>
      </c>
      <c r="P236" s="9">
        <v>1037</v>
      </c>
      <c r="Q236" s="9">
        <v>363</v>
      </c>
      <c r="R236" s="8" t="s">
        <v>17</v>
      </c>
      <c r="S236" s="11">
        <v>122</v>
      </c>
      <c r="T236" s="10">
        <v>0.27</v>
      </c>
    </row>
    <row r="237" spans="1:20" x14ac:dyDescent="0.3">
      <c r="A237" s="7">
        <f t="shared" si="22"/>
        <v>232</v>
      </c>
      <c r="B237" s="8">
        <v>467</v>
      </c>
      <c r="C237" s="9" t="str">
        <f t="shared" si="20"/>
        <v>3320x85185fe3A4e36079818Ba1d12705A9B6898997040xa60AdD2af71a4f50b3F94509E71a1e9DbDeA5dDa1651198unidade500027</v>
      </c>
      <c r="D237" s="13" t="s">
        <v>299</v>
      </c>
      <c r="E237" s="8" t="s">
        <v>1187</v>
      </c>
      <c r="F237" s="8">
        <f t="shared" si="23"/>
        <v>0</v>
      </c>
      <c r="G237" s="8">
        <f t="shared" si="23"/>
        <v>0</v>
      </c>
      <c r="H237" s="8">
        <f t="shared" si="23"/>
        <v>4</v>
      </c>
      <c r="I237" s="8">
        <f t="shared" si="23"/>
        <v>1</v>
      </c>
      <c r="J237" s="8">
        <f t="shared" si="24"/>
        <v>4</v>
      </c>
      <c r="K237" s="15">
        <v>1.5046296175569296E-4</v>
      </c>
      <c r="M237" s="8">
        <f t="shared" si="21"/>
        <v>332</v>
      </c>
      <c r="N237" s="9" t="s">
        <v>63</v>
      </c>
      <c r="O237" s="9" t="s">
        <v>16</v>
      </c>
      <c r="P237" s="9">
        <v>1651</v>
      </c>
      <c r="Q237" s="9">
        <v>198</v>
      </c>
      <c r="R237" s="8" t="s">
        <v>17</v>
      </c>
      <c r="S237" s="11">
        <v>50</v>
      </c>
      <c r="T237" s="10">
        <v>0.27</v>
      </c>
    </row>
    <row r="238" spans="1:20" x14ac:dyDescent="0.3">
      <c r="A238" s="7">
        <f t="shared" si="22"/>
        <v>233</v>
      </c>
      <c r="B238" s="8">
        <v>480</v>
      </c>
      <c r="C238" s="9" t="str">
        <f t="shared" si="20"/>
        <v>3330x85185fe3A4e36079818Ba1d12705A9B6898997040xa60AdD2af71a4f50b3F94509E71a1e9DbDeA5dDa1516199unidade2020027</v>
      </c>
      <c r="D238" s="13" t="s">
        <v>300</v>
      </c>
      <c r="E238" s="8" t="s">
        <v>1188</v>
      </c>
      <c r="F238" s="8">
        <f t="shared" si="23"/>
        <v>0</v>
      </c>
      <c r="G238" s="8">
        <f t="shared" si="23"/>
        <v>0</v>
      </c>
      <c r="H238" s="8">
        <f t="shared" si="23"/>
        <v>1</v>
      </c>
      <c r="I238" s="8">
        <f t="shared" si="23"/>
        <v>1</v>
      </c>
      <c r="J238" s="8">
        <f t="shared" si="24"/>
        <v>1</v>
      </c>
      <c r="K238" s="15">
        <v>1.273148154723458E-4</v>
      </c>
      <c r="M238" s="8">
        <f t="shared" si="21"/>
        <v>333</v>
      </c>
      <c r="N238" s="9" t="s">
        <v>63</v>
      </c>
      <c r="O238" s="9" t="s">
        <v>16</v>
      </c>
      <c r="P238" s="9">
        <v>1516</v>
      </c>
      <c r="Q238" s="9">
        <v>199</v>
      </c>
      <c r="R238" s="8" t="s">
        <v>17</v>
      </c>
      <c r="S238" s="11">
        <v>202</v>
      </c>
      <c r="T238" s="10">
        <v>0.27</v>
      </c>
    </row>
    <row r="239" spans="1:20" x14ac:dyDescent="0.3">
      <c r="A239" s="7">
        <f t="shared" si="22"/>
        <v>234</v>
      </c>
      <c r="B239" s="8">
        <v>260</v>
      </c>
      <c r="C239" s="9" t="str">
        <f t="shared" si="20"/>
        <v>3340x85185fe3A4e36079818Ba1d12705A9B6898997040xa60AdD2af71a4f50b3F94509E71a1e9DbDeA5dDa1767338unidade1650027</v>
      </c>
      <c r="D239" s="13" t="s">
        <v>301</v>
      </c>
      <c r="E239" s="8" t="s">
        <v>1189</v>
      </c>
      <c r="F239" s="8">
        <f t="shared" si="23"/>
        <v>0</v>
      </c>
      <c r="G239" s="8">
        <f t="shared" si="23"/>
        <v>0</v>
      </c>
      <c r="H239" s="8">
        <f t="shared" si="23"/>
        <v>1</v>
      </c>
      <c r="I239" s="8">
        <f t="shared" si="23"/>
        <v>7</v>
      </c>
      <c r="J239" s="8">
        <f t="shared" si="24"/>
        <v>1</v>
      </c>
      <c r="K239" s="15">
        <v>6.9444446125999093E-5</v>
      </c>
      <c r="M239" s="8">
        <f t="shared" si="21"/>
        <v>334</v>
      </c>
      <c r="N239" s="9" t="s">
        <v>63</v>
      </c>
      <c r="O239" s="9" t="s">
        <v>16</v>
      </c>
      <c r="P239" s="9">
        <v>1767</v>
      </c>
      <c r="Q239" s="9">
        <v>338</v>
      </c>
      <c r="R239" s="8" t="s">
        <v>17</v>
      </c>
      <c r="S239" s="11">
        <v>165</v>
      </c>
      <c r="T239" s="10">
        <v>0.27</v>
      </c>
    </row>
    <row r="240" spans="1:20" x14ac:dyDescent="0.3">
      <c r="A240" s="7">
        <f t="shared" si="22"/>
        <v>235</v>
      </c>
      <c r="B240" s="8">
        <v>39</v>
      </c>
      <c r="C240" s="9" t="str">
        <f t="shared" si="20"/>
        <v>3350x85185fe3A4e36079818Ba1d12705A9B6898997040xa60AdD2af71a4f50b3F94509E71a1e9DbDeA5dDa1624386unidade1710027</v>
      </c>
      <c r="D240" s="13" t="s">
        <v>302</v>
      </c>
      <c r="E240" s="8" t="s">
        <v>1190</v>
      </c>
      <c r="F240" s="8">
        <f t="shared" si="23"/>
        <v>0</v>
      </c>
      <c r="G240" s="8">
        <f t="shared" si="23"/>
        <v>0</v>
      </c>
      <c r="H240" s="8">
        <f t="shared" si="23"/>
        <v>8</v>
      </c>
      <c r="I240" s="8">
        <f t="shared" si="23"/>
        <v>4</v>
      </c>
      <c r="J240" s="8">
        <f t="shared" si="24"/>
        <v>8</v>
      </c>
      <c r="K240" s="15">
        <v>1.1574076779652387E-5</v>
      </c>
      <c r="M240" s="8">
        <f t="shared" si="21"/>
        <v>335</v>
      </c>
      <c r="N240" s="9" t="s">
        <v>63</v>
      </c>
      <c r="O240" s="9" t="s">
        <v>16</v>
      </c>
      <c r="P240" s="9">
        <v>1624</v>
      </c>
      <c r="Q240" s="9">
        <v>386</v>
      </c>
      <c r="R240" s="8" t="s">
        <v>17</v>
      </c>
      <c r="S240" s="11">
        <v>171</v>
      </c>
      <c r="T240" s="10">
        <v>0.27</v>
      </c>
    </row>
    <row r="241" spans="1:20" x14ac:dyDescent="0.3">
      <c r="A241" s="7">
        <f t="shared" si="22"/>
        <v>236</v>
      </c>
      <c r="B241" s="8">
        <v>91</v>
      </c>
      <c r="C241" s="9" t="str">
        <f t="shared" si="20"/>
        <v>3360x85185fe3A4e36079818Ba1d12705A9B6898997040xa60AdD2af71a4f50b3F94509E71a1e9DbDeA5dDa1702490unidade1410027</v>
      </c>
      <c r="D241" s="13" t="s">
        <v>303</v>
      </c>
      <c r="E241" s="8" t="s">
        <v>1191</v>
      </c>
      <c r="F241" s="8">
        <f t="shared" si="23"/>
        <v>0</v>
      </c>
      <c r="G241" s="8">
        <f t="shared" si="23"/>
        <v>0</v>
      </c>
      <c r="H241" s="8">
        <f t="shared" si="23"/>
        <v>3</v>
      </c>
      <c r="I241" s="8">
        <f t="shared" si="23"/>
        <v>1</v>
      </c>
      <c r="J241" s="8">
        <f t="shared" si="24"/>
        <v>3</v>
      </c>
      <c r="K241" s="15">
        <v>2.314814628334716E-5</v>
      </c>
      <c r="M241" s="8">
        <f t="shared" si="21"/>
        <v>336</v>
      </c>
      <c r="N241" s="9" t="s">
        <v>63</v>
      </c>
      <c r="O241" s="9" t="s">
        <v>16</v>
      </c>
      <c r="P241" s="9">
        <v>1702</v>
      </c>
      <c r="Q241" s="9">
        <v>490</v>
      </c>
      <c r="R241" s="8" t="s">
        <v>17</v>
      </c>
      <c r="S241" s="11">
        <v>141</v>
      </c>
      <c r="T241" s="10">
        <v>0.27</v>
      </c>
    </row>
    <row r="242" spans="1:20" x14ac:dyDescent="0.3">
      <c r="A242" s="7">
        <f t="shared" si="22"/>
        <v>237</v>
      </c>
      <c r="B242" s="8">
        <v>216</v>
      </c>
      <c r="C242" s="9" t="str">
        <f t="shared" si="20"/>
        <v>3370x85185fe3A4e36079818Ba1d12705A9B6898997040xa60AdD2af71a4f50b3F94509E71a1e9DbDeA5dDa1767203unidade2440027</v>
      </c>
      <c r="D242" s="13" t="s">
        <v>304</v>
      </c>
      <c r="E242" s="8" t="s">
        <v>1192</v>
      </c>
      <c r="F242" s="8">
        <f t="shared" si="23"/>
        <v>0</v>
      </c>
      <c r="G242" s="8">
        <f t="shared" si="23"/>
        <v>0</v>
      </c>
      <c r="H242" s="8">
        <f t="shared" si="23"/>
        <v>1</v>
      </c>
      <c r="I242" s="8">
        <f t="shared" si="23"/>
        <v>1</v>
      </c>
      <c r="J242" s="8">
        <f t="shared" si="24"/>
        <v>1</v>
      </c>
      <c r="K242" s="15">
        <v>5.7870369346346706E-5</v>
      </c>
      <c r="M242" s="8">
        <f t="shared" si="21"/>
        <v>337</v>
      </c>
      <c r="N242" s="9" t="s">
        <v>63</v>
      </c>
      <c r="O242" s="9" t="s">
        <v>16</v>
      </c>
      <c r="P242" s="9">
        <v>1767</v>
      </c>
      <c r="Q242" s="9">
        <v>203</v>
      </c>
      <c r="R242" s="8" t="s">
        <v>17</v>
      </c>
      <c r="S242" s="11">
        <v>244</v>
      </c>
      <c r="T242" s="10">
        <v>0.27</v>
      </c>
    </row>
    <row r="243" spans="1:20" x14ac:dyDescent="0.3">
      <c r="A243" s="7">
        <f t="shared" si="22"/>
        <v>238</v>
      </c>
      <c r="B243" s="8">
        <v>510</v>
      </c>
      <c r="C243" s="9" t="str">
        <f t="shared" si="20"/>
        <v>3380x85185fe3A4e36079818Ba1d12705A9B6898997040xa60AdD2af71a4f50b3F94509E71a1e9DbDeA5dDa1662389unidade1490027</v>
      </c>
      <c r="D243" s="13" t="s">
        <v>305</v>
      </c>
      <c r="E243" s="8" t="s">
        <v>1193</v>
      </c>
      <c r="F243" s="8">
        <f t="shared" si="23"/>
        <v>0</v>
      </c>
      <c r="G243" s="8">
        <f t="shared" si="23"/>
        <v>0</v>
      </c>
      <c r="H243" s="8">
        <f t="shared" si="23"/>
        <v>8</v>
      </c>
      <c r="I243" s="8">
        <f t="shared" si="23"/>
        <v>7</v>
      </c>
      <c r="J243" s="8">
        <f t="shared" si="24"/>
        <v>8</v>
      </c>
      <c r="K243" s="15">
        <v>1.273148154723458E-4</v>
      </c>
      <c r="M243" s="8">
        <f t="shared" si="21"/>
        <v>338</v>
      </c>
      <c r="N243" s="9" t="s">
        <v>63</v>
      </c>
      <c r="O243" s="9" t="s">
        <v>16</v>
      </c>
      <c r="P243" s="9">
        <v>1662</v>
      </c>
      <c r="Q243" s="9">
        <v>389</v>
      </c>
      <c r="R243" s="8" t="s">
        <v>17</v>
      </c>
      <c r="S243" s="11">
        <v>149</v>
      </c>
      <c r="T243" s="10">
        <v>0.27</v>
      </c>
    </row>
    <row r="244" spans="1:20" x14ac:dyDescent="0.3">
      <c r="A244" s="7">
        <f t="shared" si="22"/>
        <v>239</v>
      </c>
      <c r="B244" s="8">
        <v>660</v>
      </c>
      <c r="C244" s="9" t="str">
        <f t="shared" si="20"/>
        <v>3390x85185fe3A4e36079818Ba1d12705A9B6898997040xa60AdD2af71a4f50b3F94509E71a1e9DbDeA5dDa1254194unidade1790027</v>
      </c>
      <c r="D244" s="13" t="s">
        <v>306</v>
      </c>
      <c r="E244" s="8" t="s">
        <v>1194</v>
      </c>
      <c r="F244" s="8">
        <f t="shared" si="23"/>
        <v>0</v>
      </c>
      <c r="G244" s="8">
        <f t="shared" si="23"/>
        <v>0</v>
      </c>
      <c r="H244" s="8">
        <f t="shared" si="23"/>
        <v>1</v>
      </c>
      <c r="I244" s="8">
        <f t="shared" si="23"/>
        <v>9</v>
      </c>
      <c r="J244" s="8">
        <f t="shared" si="24"/>
        <v>1</v>
      </c>
      <c r="K244" s="15">
        <v>1.7361110803904012E-4</v>
      </c>
      <c r="M244" s="8">
        <f t="shared" si="21"/>
        <v>339</v>
      </c>
      <c r="N244" s="9" t="s">
        <v>63</v>
      </c>
      <c r="O244" s="9" t="s">
        <v>16</v>
      </c>
      <c r="P244" s="9">
        <v>1254</v>
      </c>
      <c r="Q244" s="9">
        <v>194</v>
      </c>
      <c r="R244" s="8" t="s">
        <v>17</v>
      </c>
      <c r="S244" s="11">
        <v>179</v>
      </c>
      <c r="T244" s="10">
        <v>0.27</v>
      </c>
    </row>
    <row r="245" spans="1:20" x14ac:dyDescent="0.3">
      <c r="A245" s="7">
        <f t="shared" si="22"/>
        <v>240</v>
      </c>
      <c r="B245" s="8">
        <v>4</v>
      </c>
      <c r="C245" s="9" t="str">
        <f t="shared" si="20"/>
        <v>3400x85185fe3A4e36079818Ba1d12705A9B6898997040xa60AdD2af71a4f50b3F94509E71a1e9DbDeA5dDa1354378unidade1920027</v>
      </c>
      <c r="D245" s="13" t="s">
        <v>307</v>
      </c>
      <c r="E245" s="8" t="s">
        <v>1195</v>
      </c>
      <c r="F245" s="8">
        <f t="shared" si="23"/>
        <v>0</v>
      </c>
      <c r="G245" s="8">
        <f t="shared" si="23"/>
        <v>0</v>
      </c>
      <c r="H245" s="8">
        <f t="shared" si="23"/>
        <v>1</v>
      </c>
      <c r="I245" s="8">
        <f t="shared" si="23"/>
        <v>1</v>
      </c>
      <c r="J245" s="8">
        <f t="shared" si="24"/>
        <v>1</v>
      </c>
      <c r="K245" s="15">
        <v>0</v>
      </c>
      <c r="M245" s="8">
        <f t="shared" si="21"/>
        <v>340</v>
      </c>
      <c r="N245" s="9" t="s">
        <v>63</v>
      </c>
      <c r="O245" s="9" t="s">
        <v>16</v>
      </c>
      <c r="P245" s="9">
        <v>1354</v>
      </c>
      <c r="Q245" s="9">
        <v>378</v>
      </c>
      <c r="R245" s="8" t="s">
        <v>17</v>
      </c>
      <c r="S245" s="11">
        <v>192</v>
      </c>
      <c r="T245" s="10">
        <v>0.27</v>
      </c>
    </row>
    <row r="246" spans="1:20" x14ac:dyDescent="0.3">
      <c r="A246" s="7">
        <f t="shared" si="22"/>
        <v>241</v>
      </c>
      <c r="B246" s="8">
        <v>23</v>
      </c>
      <c r="C246" s="9" t="str">
        <f t="shared" si="20"/>
        <v>3410x85185fe3A4e36079818Ba1d12705A9B6898997040xa60AdD2af71a4f50b3F94509E71a1e9DbDeA5dDa1269367unidade660027</v>
      </c>
      <c r="D246" s="13" t="s">
        <v>308</v>
      </c>
      <c r="E246" s="8" t="s">
        <v>1196</v>
      </c>
      <c r="F246" s="8">
        <f t="shared" si="23"/>
        <v>0</v>
      </c>
      <c r="G246" s="8">
        <f t="shared" si="23"/>
        <v>0</v>
      </c>
      <c r="H246" s="8">
        <f t="shared" si="23"/>
        <v>2</v>
      </c>
      <c r="I246" s="8">
        <f t="shared" si="23"/>
        <v>6</v>
      </c>
      <c r="J246" s="8">
        <f t="shared" si="24"/>
        <v>2</v>
      </c>
      <c r="K246" s="15">
        <v>1.1574076779652387E-5</v>
      </c>
      <c r="M246" s="8">
        <f t="shared" si="21"/>
        <v>341</v>
      </c>
      <c r="N246" s="9" t="s">
        <v>63</v>
      </c>
      <c r="O246" s="9" t="s">
        <v>16</v>
      </c>
      <c r="P246" s="9">
        <v>1269</v>
      </c>
      <c r="Q246" s="9">
        <v>367</v>
      </c>
      <c r="R246" s="8" t="s">
        <v>17</v>
      </c>
      <c r="S246" s="11">
        <v>66</v>
      </c>
      <c r="T246" s="10">
        <v>0.27</v>
      </c>
    </row>
    <row r="247" spans="1:20" x14ac:dyDescent="0.3">
      <c r="A247" s="7">
        <f t="shared" si="22"/>
        <v>242</v>
      </c>
      <c r="B247" s="8">
        <v>157</v>
      </c>
      <c r="C247" s="9" t="str">
        <f t="shared" si="20"/>
        <v>3420x85185fe3A4e36079818Ba1d12705A9B6898997040xa60AdD2af71a4f50b3F94509E71a1e9DbDeA5dDa1756102unidade700027</v>
      </c>
      <c r="D247" s="13" t="s">
        <v>309</v>
      </c>
      <c r="E247" s="8" t="s">
        <v>1197</v>
      </c>
      <c r="F247" s="8">
        <f t="shared" si="23"/>
        <v>0</v>
      </c>
      <c r="G247" s="8">
        <f t="shared" si="23"/>
        <v>0</v>
      </c>
      <c r="H247" s="8">
        <f t="shared" si="23"/>
        <v>4</v>
      </c>
      <c r="I247" s="8">
        <f t="shared" si="23"/>
        <v>1</v>
      </c>
      <c r="J247" s="8">
        <f t="shared" si="24"/>
        <v>4</v>
      </c>
      <c r="K247" s="15">
        <v>4.6296292566694319E-5</v>
      </c>
      <c r="M247" s="8">
        <f t="shared" si="21"/>
        <v>342</v>
      </c>
      <c r="N247" s="9" t="s">
        <v>63</v>
      </c>
      <c r="O247" s="9" t="s">
        <v>16</v>
      </c>
      <c r="P247" s="9">
        <v>1756</v>
      </c>
      <c r="Q247" s="9">
        <v>102</v>
      </c>
      <c r="R247" s="8" t="s">
        <v>17</v>
      </c>
      <c r="S247" s="11">
        <v>70</v>
      </c>
      <c r="T247" s="10">
        <v>0.27</v>
      </c>
    </row>
    <row r="248" spans="1:20" x14ac:dyDescent="0.3">
      <c r="A248" s="7">
        <f t="shared" si="22"/>
        <v>243</v>
      </c>
      <c r="B248" s="8">
        <v>151</v>
      </c>
      <c r="C248" s="9" t="str">
        <f t="shared" si="20"/>
        <v>3430x85185fe3A4e36079818Ba1d12705A9B6898997040xa60AdD2af71a4f50b3F94509E71a1e9DbDeA5dDa1253401unidade2130027</v>
      </c>
      <c r="D248" s="13" t="s">
        <v>310</v>
      </c>
      <c r="E248" s="8" t="s">
        <v>1198</v>
      </c>
      <c r="F248" s="8">
        <f t="shared" si="23"/>
        <v>0</v>
      </c>
      <c r="G248" s="8">
        <f t="shared" si="23"/>
        <v>0</v>
      </c>
      <c r="H248" s="8">
        <f t="shared" si="23"/>
        <v>2</v>
      </c>
      <c r="I248" s="8">
        <f t="shared" si="23"/>
        <v>1</v>
      </c>
      <c r="J248" s="8">
        <f t="shared" si="24"/>
        <v>2</v>
      </c>
      <c r="K248" s="15">
        <v>3.4722223062999547E-5</v>
      </c>
      <c r="M248" s="8">
        <f t="shared" si="21"/>
        <v>343</v>
      </c>
      <c r="N248" s="9" t="s">
        <v>63</v>
      </c>
      <c r="O248" s="9" t="s">
        <v>16</v>
      </c>
      <c r="P248" s="9">
        <v>1253</v>
      </c>
      <c r="Q248" s="9">
        <v>401</v>
      </c>
      <c r="R248" s="8" t="s">
        <v>17</v>
      </c>
      <c r="S248" s="11">
        <v>213</v>
      </c>
      <c r="T248" s="10">
        <v>0.27</v>
      </c>
    </row>
    <row r="249" spans="1:20" x14ac:dyDescent="0.3">
      <c r="A249" s="7">
        <f t="shared" si="22"/>
        <v>244</v>
      </c>
      <c r="B249" s="8">
        <v>132</v>
      </c>
      <c r="C249" s="9" t="str">
        <f t="shared" si="20"/>
        <v>3440x85185fe3A4e36079818Ba1d12705A9B6898997040xa60AdD2af71a4f50b3F94509E71a1e9DbDeA5dDa1383484unidade2310027</v>
      </c>
      <c r="D249" s="13" t="s">
        <v>311</v>
      </c>
      <c r="E249" s="8" t="s">
        <v>1199</v>
      </c>
      <c r="F249" s="8">
        <f t="shared" si="23"/>
        <v>0</v>
      </c>
      <c r="G249" s="8">
        <f t="shared" si="23"/>
        <v>0</v>
      </c>
      <c r="H249" s="8">
        <f t="shared" si="23"/>
        <v>9</v>
      </c>
      <c r="I249" s="8">
        <f t="shared" si="23"/>
        <v>6</v>
      </c>
      <c r="J249" s="8">
        <f t="shared" si="24"/>
        <v>9</v>
      </c>
      <c r="K249" s="15">
        <v>3.4722223062999547E-5</v>
      </c>
      <c r="M249" s="8">
        <f t="shared" si="21"/>
        <v>344</v>
      </c>
      <c r="N249" s="9" t="s">
        <v>63</v>
      </c>
      <c r="O249" s="9" t="s">
        <v>16</v>
      </c>
      <c r="P249" s="9">
        <v>1383</v>
      </c>
      <c r="Q249" s="9">
        <v>484</v>
      </c>
      <c r="R249" s="8" t="s">
        <v>17</v>
      </c>
      <c r="S249" s="11">
        <v>231</v>
      </c>
      <c r="T249" s="10">
        <v>0.27</v>
      </c>
    </row>
    <row r="250" spans="1:20" x14ac:dyDescent="0.3">
      <c r="A250" s="7">
        <f t="shared" si="22"/>
        <v>245</v>
      </c>
      <c r="B250" s="8">
        <v>340</v>
      </c>
      <c r="C250" s="9" t="str">
        <f t="shared" si="20"/>
        <v>3450x85185fe3A4e36079818Ba1d12705A9B6898997040xa60AdD2af71a4f50b3F94509E71a1e9DbDeA5dDa1105352unidade1450027</v>
      </c>
      <c r="D250" s="13" t="s">
        <v>312</v>
      </c>
      <c r="E250" s="8" t="s">
        <v>1200</v>
      </c>
      <c r="F250" s="8">
        <f t="shared" si="23"/>
        <v>0</v>
      </c>
      <c r="G250" s="8">
        <f t="shared" si="23"/>
        <v>0</v>
      </c>
      <c r="H250" s="8">
        <f t="shared" si="23"/>
        <v>6</v>
      </c>
      <c r="I250" s="8">
        <f t="shared" si="23"/>
        <v>5</v>
      </c>
      <c r="J250" s="8">
        <f t="shared" si="24"/>
        <v>6</v>
      </c>
      <c r="K250" s="15">
        <v>8.101852290565148E-5</v>
      </c>
      <c r="M250" s="8">
        <f t="shared" si="21"/>
        <v>345</v>
      </c>
      <c r="N250" s="9" t="s">
        <v>63</v>
      </c>
      <c r="O250" s="9" t="s">
        <v>16</v>
      </c>
      <c r="P250" s="9">
        <v>1105</v>
      </c>
      <c r="Q250" s="9">
        <v>352</v>
      </c>
      <c r="R250" s="8" t="s">
        <v>17</v>
      </c>
      <c r="S250" s="11">
        <v>145</v>
      </c>
      <c r="T250" s="10">
        <v>0.27</v>
      </c>
    </row>
    <row r="251" spans="1:20" x14ac:dyDescent="0.3">
      <c r="A251" s="7">
        <f t="shared" si="22"/>
        <v>246</v>
      </c>
      <c r="B251" s="8">
        <v>72</v>
      </c>
      <c r="C251" s="9" t="str">
        <f t="shared" si="20"/>
        <v>3460x85185fe3A4e36079818Ba1d12705A9B6898997040xa60AdD2af71a4f50b3F94509E71a1e9DbDeA5dDa1720162unidade2450027</v>
      </c>
      <c r="D251" s="13" t="s">
        <v>313</v>
      </c>
      <c r="E251" s="8" t="s">
        <v>1201</v>
      </c>
      <c r="F251" s="8">
        <f t="shared" si="23"/>
        <v>0</v>
      </c>
      <c r="G251" s="8">
        <f t="shared" si="23"/>
        <v>0</v>
      </c>
      <c r="H251" s="8">
        <f t="shared" si="23"/>
        <v>3</v>
      </c>
      <c r="I251" s="8">
        <f t="shared" si="23"/>
        <v>4</v>
      </c>
      <c r="J251" s="8">
        <f t="shared" si="24"/>
        <v>3</v>
      </c>
      <c r="K251" s="15">
        <v>1.1574076779652387E-5</v>
      </c>
      <c r="M251" s="8">
        <f t="shared" si="21"/>
        <v>346</v>
      </c>
      <c r="N251" s="9" t="s">
        <v>63</v>
      </c>
      <c r="O251" s="9" t="s">
        <v>16</v>
      </c>
      <c r="P251" s="9">
        <v>1720</v>
      </c>
      <c r="Q251" s="9">
        <v>162</v>
      </c>
      <c r="R251" s="8" t="s">
        <v>17</v>
      </c>
      <c r="S251" s="11">
        <v>245</v>
      </c>
      <c r="T251" s="10">
        <v>0.27</v>
      </c>
    </row>
    <row r="252" spans="1:20" x14ac:dyDescent="0.3">
      <c r="A252" s="7">
        <f t="shared" si="22"/>
        <v>247</v>
      </c>
      <c r="B252" s="8">
        <v>248</v>
      </c>
      <c r="C252" s="9" t="str">
        <f t="shared" si="20"/>
        <v>3470x85185fe3A4e36079818Ba1d12705A9B6898997040xa60AdD2af71a4f50b3F94509E71a1e9DbDeA5dDa1865119unidade1250027</v>
      </c>
      <c r="D252" s="13" t="s">
        <v>314</v>
      </c>
      <c r="E252" s="8" t="s">
        <v>1202</v>
      </c>
      <c r="F252" s="8">
        <f t="shared" si="23"/>
        <v>0</v>
      </c>
      <c r="G252" s="8">
        <f t="shared" si="23"/>
        <v>0</v>
      </c>
      <c r="H252" s="8">
        <f t="shared" si="23"/>
        <v>1</v>
      </c>
      <c r="I252" s="8">
        <f t="shared" si="23"/>
        <v>0</v>
      </c>
      <c r="J252" s="8">
        <f t="shared" si="24"/>
        <v>1</v>
      </c>
      <c r="K252" s="15">
        <v>6.9444446125999093E-5</v>
      </c>
      <c r="M252" s="8">
        <f t="shared" si="21"/>
        <v>347</v>
      </c>
      <c r="N252" s="9" t="s">
        <v>63</v>
      </c>
      <c r="O252" s="9" t="s">
        <v>16</v>
      </c>
      <c r="P252" s="9">
        <v>1865</v>
      </c>
      <c r="Q252" s="9">
        <v>119</v>
      </c>
      <c r="R252" s="8" t="s">
        <v>17</v>
      </c>
      <c r="S252" s="11">
        <v>125</v>
      </c>
      <c r="T252" s="10">
        <v>0.27</v>
      </c>
    </row>
    <row r="253" spans="1:20" x14ac:dyDescent="0.3">
      <c r="A253" s="7">
        <f t="shared" si="22"/>
        <v>248</v>
      </c>
      <c r="B253" s="8">
        <v>201</v>
      </c>
      <c r="C253" s="9" t="str">
        <f t="shared" si="20"/>
        <v>3480x85185fe3A4e36079818Ba1d12705A9B6898997040xa60AdD2af71a4f50b3F94509E71a1e9DbDeA5dDa1273300unidade2030027</v>
      </c>
      <c r="D253" s="13" t="s">
        <v>315</v>
      </c>
      <c r="E253" s="8" t="s">
        <v>1203</v>
      </c>
      <c r="F253" s="8">
        <f t="shared" si="23"/>
        <v>0</v>
      </c>
      <c r="G253" s="8">
        <f t="shared" si="23"/>
        <v>0</v>
      </c>
      <c r="H253" s="8">
        <f t="shared" si="23"/>
        <v>1</v>
      </c>
      <c r="I253" s="8">
        <f t="shared" si="23"/>
        <v>3</v>
      </c>
      <c r="J253" s="8">
        <f t="shared" si="24"/>
        <v>1</v>
      </c>
      <c r="K253" s="15">
        <v>4.6296292566694319E-5</v>
      </c>
      <c r="M253" s="8">
        <f t="shared" si="21"/>
        <v>348</v>
      </c>
      <c r="N253" s="9" t="s">
        <v>63</v>
      </c>
      <c r="O253" s="9" t="s">
        <v>16</v>
      </c>
      <c r="P253" s="9">
        <v>1273</v>
      </c>
      <c r="Q253" s="9">
        <v>300</v>
      </c>
      <c r="R253" s="8" t="s">
        <v>17</v>
      </c>
      <c r="S253" s="11">
        <v>203</v>
      </c>
      <c r="T253" s="10">
        <v>0.27</v>
      </c>
    </row>
    <row r="254" spans="1:20" x14ac:dyDescent="0.3">
      <c r="A254" s="7">
        <f t="shared" si="22"/>
        <v>249</v>
      </c>
      <c r="B254" s="8">
        <v>114</v>
      </c>
      <c r="C254" s="9" t="str">
        <f t="shared" si="20"/>
        <v>3490x85185fe3A4e36079818Ba1d12705A9B6898997040xa60AdD2af71a4f50b3F94509E71a1e9DbDeA5dDa1453310unidade2430027</v>
      </c>
      <c r="D254" s="13" t="s">
        <v>316</v>
      </c>
      <c r="E254" s="8" t="s">
        <v>1204</v>
      </c>
      <c r="F254" s="8">
        <f t="shared" si="23"/>
        <v>0</v>
      </c>
      <c r="G254" s="8">
        <f t="shared" si="23"/>
        <v>0</v>
      </c>
      <c r="H254" s="8">
        <f t="shared" si="23"/>
        <v>4</v>
      </c>
      <c r="I254" s="8">
        <f t="shared" si="23"/>
        <v>1</v>
      </c>
      <c r="J254" s="8">
        <f t="shared" si="24"/>
        <v>4</v>
      </c>
      <c r="K254" s="15">
        <v>3.4722223062999547E-5</v>
      </c>
      <c r="M254" s="8">
        <f t="shared" si="21"/>
        <v>349</v>
      </c>
      <c r="N254" s="9" t="s">
        <v>63</v>
      </c>
      <c r="O254" s="9" t="s">
        <v>16</v>
      </c>
      <c r="P254" s="9">
        <v>1453</v>
      </c>
      <c r="Q254" s="9">
        <v>310</v>
      </c>
      <c r="R254" s="8" t="s">
        <v>17</v>
      </c>
      <c r="S254" s="11">
        <v>243</v>
      </c>
      <c r="T254" s="10">
        <v>0.27</v>
      </c>
    </row>
    <row r="255" spans="1:20" x14ac:dyDescent="0.3">
      <c r="A255" s="7">
        <f t="shared" si="22"/>
        <v>250</v>
      </c>
      <c r="B255" s="8">
        <v>881</v>
      </c>
      <c r="C255" s="9" t="str">
        <f t="shared" si="20"/>
        <v>3500x85185fe3A4e36079818Ba1d12705A9B6898997040xa60AdD2af71a4f50b3F94509E71a1e9DbDeA5dDa1423201unidade1300027</v>
      </c>
      <c r="D255" s="13" t="s">
        <v>317</v>
      </c>
      <c r="E255" s="8" t="s">
        <v>1205</v>
      </c>
      <c r="F255" s="8">
        <f t="shared" si="23"/>
        <v>0</v>
      </c>
      <c r="G255" s="8">
        <f t="shared" si="23"/>
        <v>0</v>
      </c>
      <c r="H255" s="8">
        <f t="shared" si="23"/>
        <v>2</v>
      </c>
      <c r="I255" s="8">
        <f t="shared" si="23"/>
        <v>7</v>
      </c>
      <c r="J255" s="8">
        <f t="shared" si="24"/>
        <v>2</v>
      </c>
      <c r="K255" s="15">
        <v>2.3148148466134444E-4</v>
      </c>
      <c r="M255" s="8">
        <f t="shared" si="21"/>
        <v>350</v>
      </c>
      <c r="N255" s="9" t="s">
        <v>63</v>
      </c>
      <c r="O255" s="9" t="s">
        <v>16</v>
      </c>
      <c r="P255" s="9">
        <v>1423</v>
      </c>
      <c r="Q255" s="9">
        <v>201</v>
      </c>
      <c r="R255" s="8" t="s">
        <v>17</v>
      </c>
      <c r="S255" s="11">
        <v>130</v>
      </c>
      <c r="T255" s="10">
        <v>0.27</v>
      </c>
    </row>
    <row r="256" spans="1:20" x14ac:dyDescent="0.3">
      <c r="A256" s="7">
        <f t="shared" si="22"/>
        <v>251</v>
      </c>
      <c r="B256" s="8">
        <v>243</v>
      </c>
      <c r="C256" s="9" t="str">
        <f t="shared" si="20"/>
        <v>3510x85185fe3A4e36079818Ba1d12705A9B6898997040xa60AdD2af71a4f50b3F94509E71a1e9DbDeA5dDa1220125unidade1190027</v>
      </c>
      <c r="D256" s="13" t="s">
        <v>318</v>
      </c>
      <c r="E256" s="8" t="s">
        <v>1206</v>
      </c>
      <c r="F256" s="8">
        <f t="shared" si="23"/>
        <v>0</v>
      </c>
      <c r="G256" s="8">
        <f t="shared" si="23"/>
        <v>0</v>
      </c>
      <c r="H256" s="8">
        <f t="shared" si="23"/>
        <v>2</v>
      </c>
      <c r="I256" s="8">
        <f t="shared" si="23"/>
        <v>2</v>
      </c>
      <c r="J256" s="8">
        <f t="shared" si="24"/>
        <v>2</v>
      </c>
      <c r="K256" s="15">
        <v>5.7870369346346706E-5</v>
      </c>
      <c r="M256" s="8">
        <f t="shared" si="21"/>
        <v>351</v>
      </c>
      <c r="N256" s="9" t="s">
        <v>63</v>
      </c>
      <c r="O256" s="9" t="s">
        <v>16</v>
      </c>
      <c r="P256" s="9">
        <v>1220</v>
      </c>
      <c r="Q256" s="9">
        <v>125</v>
      </c>
      <c r="R256" s="8" t="s">
        <v>17</v>
      </c>
      <c r="S256" s="11">
        <v>119</v>
      </c>
      <c r="T256" s="10">
        <v>0.27</v>
      </c>
    </row>
    <row r="257" spans="1:20" x14ac:dyDescent="0.3">
      <c r="A257" s="7">
        <f t="shared" si="22"/>
        <v>252</v>
      </c>
      <c r="B257" s="8">
        <v>386</v>
      </c>
      <c r="C257" s="9" t="str">
        <f t="shared" si="20"/>
        <v>3520x85185fe3A4e36079818Ba1d12705A9B6898997040xa60AdD2af71a4f50b3F94509E71a1e9DbDeA5dDa1089296unidade1280027</v>
      </c>
      <c r="D257" s="13" t="s">
        <v>319</v>
      </c>
      <c r="E257" s="8" t="s">
        <v>1207</v>
      </c>
      <c r="F257" s="8">
        <f t="shared" si="23"/>
        <v>0</v>
      </c>
      <c r="G257" s="8">
        <f t="shared" si="23"/>
        <v>0</v>
      </c>
      <c r="H257" s="8">
        <f t="shared" si="23"/>
        <v>1</v>
      </c>
      <c r="I257" s="8">
        <f t="shared" si="23"/>
        <v>2</v>
      </c>
      <c r="J257" s="8">
        <f t="shared" si="24"/>
        <v>1</v>
      </c>
      <c r="K257" s="15">
        <v>1.0416666191304103E-4</v>
      </c>
      <c r="M257" s="8">
        <f t="shared" si="21"/>
        <v>352</v>
      </c>
      <c r="N257" s="9" t="s">
        <v>63</v>
      </c>
      <c r="O257" s="9" t="s">
        <v>16</v>
      </c>
      <c r="P257" s="9">
        <v>1089</v>
      </c>
      <c r="Q257" s="9">
        <v>296</v>
      </c>
      <c r="R257" s="8" t="s">
        <v>17</v>
      </c>
      <c r="S257" s="11">
        <v>128</v>
      </c>
      <c r="T257" s="10">
        <v>0.27</v>
      </c>
    </row>
    <row r="258" spans="1:20" x14ac:dyDescent="0.3">
      <c r="A258" s="7">
        <f t="shared" si="22"/>
        <v>253</v>
      </c>
      <c r="B258" s="8">
        <v>557</v>
      </c>
      <c r="C258" s="9" t="str">
        <f t="shared" si="20"/>
        <v>3530x85185fe3A4e36079818Ba1d12705A9B6898997040xa60AdD2af71a4f50b3F94509E71a1e9DbDeA5dDa1103165unidade690027</v>
      </c>
      <c r="D258" s="13" t="s">
        <v>320</v>
      </c>
      <c r="E258" s="8" t="s">
        <v>1208</v>
      </c>
      <c r="F258" s="8">
        <f t="shared" si="23"/>
        <v>0</v>
      </c>
      <c r="G258" s="8">
        <f t="shared" si="23"/>
        <v>0</v>
      </c>
      <c r="H258" s="8">
        <f t="shared" si="23"/>
        <v>1</v>
      </c>
      <c r="I258" s="8">
        <f t="shared" si="23"/>
        <v>7</v>
      </c>
      <c r="J258" s="8">
        <f t="shared" si="24"/>
        <v>1</v>
      </c>
      <c r="K258" s="15">
        <v>1.3888889225199819E-4</v>
      </c>
      <c r="M258" s="8">
        <f t="shared" si="21"/>
        <v>353</v>
      </c>
      <c r="N258" s="9" t="s">
        <v>63</v>
      </c>
      <c r="O258" s="9" t="s">
        <v>16</v>
      </c>
      <c r="P258" s="9">
        <v>1103</v>
      </c>
      <c r="Q258" s="9">
        <v>165</v>
      </c>
      <c r="R258" s="8" t="s">
        <v>17</v>
      </c>
      <c r="S258" s="11">
        <v>69</v>
      </c>
      <c r="T258" s="10">
        <v>0.27</v>
      </c>
    </row>
    <row r="259" spans="1:20" x14ac:dyDescent="0.3">
      <c r="A259" s="7">
        <f t="shared" si="22"/>
        <v>254</v>
      </c>
      <c r="B259" s="8">
        <v>235</v>
      </c>
      <c r="C259" s="9" t="str">
        <f t="shared" si="20"/>
        <v>3540x85185fe3A4e36079818Ba1d12705A9B6898997040xa60AdD2af71a4f50b3F94509E71a1e9DbDeA5dDa1177159unidade2120027</v>
      </c>
      <c r="D259" s="13" t="s">
        <v>321</v>
      </c>
      <c r="E259" s="8" t="s">
        <v>1209</v>
      </c>
      <c r="F259" s="8">
        <f t="shared" si="23"/>
        <v>0</v>
      </c>
      <c r="G259" s="8">
        <f t="shared" si="23"/>
        <v>0</v>
      </c>
      <c r="H259" s="8">
        <f t="shared" si="23"/>
        <v>9</v>
      </c>
      <c r="I259" s="8">
        <f t="shared" si="23"/>
        <v>6</v>
      </c>
      <c r="J259" s="8">
        <f t="shared" si="24"/>
        <v>9</v>
      </c>
      <c r="K259" s="15">
        <v>5.7870369346346706E-5</v>
      </c>
      <c r="M259" s="8">
        <f t="shared" si="21"/>
        <v>354</v>
      </c>
      <c r="N259" s="9" t="s">
        <v>63</v>
      </c>
      <c r="O259" s="9" t="s">
        <v>16</v>
      </c>
      <c r="P259" s="9">
        <v>1177</v>
      </c>
      <c r="Q259" s="9">
        <v>159</v>
      </c>
      <c r="R259" s="8" t="s">
        <v>17</v>
      </c>
      <c r="S259" s="11">
        <v>212</v>
      </c>
      <c r="T259" s="10">
        <v>0.27</v>
      </c>
    </row>
    <row r="260" spans="1:20" x14ac:dyDescent="0.3">
      <c r="A260" s="7">
        <f t="shared" si="22"/>
        <v>255</v>
      </c>
      <c r="B260" s="8">
        <v>14</v>
      </c>
      <c r="C260" s="9" t="str">
        <f t="shared" si="20"/>
        <v>3550x85185fe3A4e36079818Ba1d12705A9B6898997040xa60AdD2af71a4f50b3F94509E71a1e9DbDeA5dDa1361198unidade2420027</v>
      </c>
      <c r="D260" s="13" t="s">
        <v>322</v>
      </c>
      <c r="E260" s="8" t="s">
        <v>1210</v>
      </c>
      <c r="F260" s="8">
        <f t="shared" si="23"/>
        <v>0</v>
      </c>
      <c r="G260" s="8">
        <f t="shared" si="23"/>
        <v>0</v>
      </c>
      <c r="H260" s="8">
        <f t="shared" si="23"/>
        <v>1</v>
      </c>
      <c r="I260" s="8">
        <f t="shared" si="23"/>
        <v>0</v>
      </c>
      <c r="J260" s="8">
        <f t="shared" si="24"/>
        <v>1</v>
      </c>
      <c r="K260" s="15">
        <v>1.1574076779652387E-5</v>
      </c>
      <c r="M260" s="8">
        <f t="shared" si="21"/>
        <v>355</v>
      </c>
      <c r="N260" s="9" t="s">
        <v>63</v>
      </c>
      <c r="O260" s="9" t="s">
        <v>16</v>
      </c>
      <c r="P260" s="9">
        <v>1361</v>
      </c>
      <c r="Q260" s="9">
        <v>198</v>
      </c>
      <c r="R260" s="8" t="s">
        <v>17</v>
      </c>
      <c r="S260" s="11">
        <v>242</v>
      </c>
      <c r="T260" s="10">
        <v>0.27</v>
      </c>
    </row>
    <row r="261" spans="1:20" x14ac:dyDescent="0.3">
      <c r="A261" s="7">
        <f t="shared" si="22"/>
        <v>256</v>
      </c>
      <c r="B261" s="8">
        <v>200</v>
      </c>
      <c r="C261" s="9" t="str">
        <f t="shared" si="20"/>
        <v>3560x85185fe3A4e36079818Ba1d12705A9B6898997040xa60AdD2af71a4f50b3F94509E71a1e9DbDeA5dDa1554337unidade2270027</v>
      </c>
      <c r="D261" s="13" t="s">
        <v>323</v>
      </c>
      <c r="E261" s="8" t="s">
        <v>1211</v>
      </c>
      <c r="F261" s="8">
        <f t="shared" si="23"/>
        <v>0</v>
      </c>
      <c r="G261" s="8">
        <f t="shared" si="23"/>
        <v>0</v>
      </c>
      <c r="H261" s="8">
        <f t="shared" si="23"/>
        <v>1</v>
      </c>
      <c r="I261" s="8">
        <f t="shared" si="23"/>
        <v>1</v>
      </c>
      <c r="J261" s="8">
        <f t="shared" si="24"/>
        <v>1</v>
      </c>
      <c r="K261" s="15">
        <v>4.6296292566694319E-5</v>
      </c>
      <c r="M261" s="8">
        <f t="shared" si="21"/>
        <v>356</v>
      </c>
      <c r="N261" s="9" t="s">
        <v>63</v>
      </c>
      <c r="O261" s="9" t="s">
        <v>16</v>
      </c>
      <c r="P261" s="9">
        <v>1554</v>
      </c>
      <c r="Q261" s="9">
        <v>337</v>
      </c>
      <c r="R261" s="8" t="s">
        <v>17</v>
      </c>
      <c r="S261" s="11">
        <v>227</v>
      </c>
      <c r="T261" s="10">
        <v>0.27</v>
      </c>
    </row>
    <row r="262" spans="1:20" x14ac:dyDescent="0.3">
      <c r="A262" s="7">
        <f t="shared" si="22"/>
        <v>257</v>
      </c>
      <c r="B262" s="8">
        <v>8</v>
      </c>
      <c r="C262" s="9" t="str">
        <f t="shared" ref="C262:C325" si="25">M262&amp;N262&amp;O262&amp;P262&amp;Q262&amp;R262&amp;(S262*100)&amp;(T262*100)</f>
        <v>3570x85185fe3A4e36079818Ba1d12705A9B6898997040xa60AdD2af71a4f50b3F94509E71a1e9DbDeA5dDa1552294unidade540027</v>
      </c>
      <c r="D262" s="13" t="s">
        <v>324</v>
      </c>
      <c r="E262" s="8" t="s">
        <v>1212</v>
      </c>
      <c r="F262" s="8">
        <f t="shared" si="23"/>
        <v>0</v>
      </c>
      <c r="G262" s="8">
        <f t="shared" si="23"/>
        <v>0</v>
      </c>
      <c r="H262" s="8">
        <f t="shared" si="23"/>
        <v>9</v>
      </c>
      <c r="I262" s="8">
        <f t="shared" si="23"/>
        <v>4</v>
      </c>
      <c r="J262" s="8">
        <f t="shared" si="24"/>
        <v>9</v>
      </c>
      <c r="K262" s="15">
        <v>1.1574076779652387E-5</v>
      </c>
      <c r="M262" s="8">
        <f t="shared" ref="M262:M325" si="26">1+M261</f>
        <v>357</v>
      </c>
      <c r="N262" s="9" t="s">
        <v>63</v>
      </c>
      <c r="O262" s="9" t="s">
        <v>16</v>
      </c>
      <c r="P262" s="9">
        <v>1552</v>
      </c>
      <c r="Q262" s="9">
        <v>294</v>
      </c>
      <c r="R262" s="8" t="s">
        <v>17</v>
      </c>
      <c r="S262" s="11">
        <v>54</v>
      </c>
      <c r="T262" s="10">
        <v>0.27</v>
      </c>
    </row>
    <row r="263" spans="1:20" x14ac:dyDescent="0.3">
      <c r="A263" s="7">
        <f t="shared" ref="A263:A326" si="27">1+A262</f>
        <v>258</v>
      </c>
      <c r="B263" s="8">
        <v>169</v>
      </c>
      <c r="C263" s="9" t="str">
        <f t="shared" si="25"/>
        <v>3580x85185fe3A4e36079818Ba1d12705A9B6898997040xa60AdD2af71a4f50b3F94509E71a1e9DbDeA5dDa1264299unidade2130027</v>
      </c>
      <c r="D263" s="13" t="s">
        <v>325</v>
      </c>
      <c r="E263" s="8" t="s">
        <v>1213</v>
      </c>
      <c r="F263" s="8">
        <f t="shared" si="23"/>
        <v>0</v>
      </c>
      <c r="G263" s="8">
        <f t="shared" si="23"/>
        <v>0</v>
      </c>
      <c r="H263" s="8">
        <f t="shared" si="23"/>
        <v>1</v>
      </c>
      <c r="I263" s="8">
        <f t="shared" si="23"/>
        <v>2</v>
      </c>
      <c r="J263" s="8">
        <f t="shared" si="24"/>
        <v>1</v>
      </c>
      <c r="K263" s="15">
        <v>4.6296292566694319E-5</v>
      </c>
      <c r="M263" s="8">
        <f t="shared" si="26"/>
        <v>358</v>
      </c>
      <c r="N263" s="9" t="s">
        <v>63</v>
      </c>
      <c r="O263" s="9" t="s">
        <v>16</v>
      </c>
      <c r="P263" s="9">
        <v>1264</v>
      </c>
      <c r="Q263" s="9">
        <v>299</v>
      </c>
      <c r="R263" s="8" t="s">
        <v>17</v>
      </c>
      <c r="S263" s="11">
        <v>213</v>
      </c>
      <c r="T263" s="10">
        <v>0.27</v>
      </c>
    </row>
    <row r="264" spans="1:20" x14ac:dyDescent="0.3">
      <c r="A264" s="7">
        <f t="shared" si="27"/>
        <v>259</v>
      </c>
      <c r="B264" s="8">
        <v>69</v>
      </c>
      <c r="C264" s="9" t="str">
        <f t="shared" si="25"/>
        <v>3590x85185fe3A4e36079818Ba1d12705A9B6898997040xa60AdD2af71a4f50b3F94509E71a1e9DbDeA5dDa1183220unidade2110027</v>
      </c>
      <c r="D264" s="13" t="s">
        <v>326</v>
      </c>
      <c r="E264" s="8" t="s">
        <v>1214</v>
      </c>
      <c r="F264" s="8">
        <f t="shared" si="23"/>
        <v>0</v>
      </c>
      <c r="G264" s="8">
        <f t="shared" si="23"/>
        <v>0</v>
      </c>
      <c r="H264" s="8">
        <f t="shared" si="23"/>
        <v>4</v>
      </c>
      <c r="I264" s="8">
        <f t="shared" si="23"/>
        <v>9</v>
      </c>
      <c r="J264" s="8">
        <f t="shared" si="24"/>
        <v>4</v>
      </c>
      <c r="K264" s="15">
        <v>1.1574076779652387E-5</v>
      </c>
      <c r="M264" s="8">
        <f t="shared" si="26"/>
        <v>359</v>
      </c>
      <c r="N264" s="9" t="s">
        <v>63</v>
      </c>
      <c r="O264" s="9" t="s">
        <v>16</v>
      </c>
      <c r="P264" s="9">
        <v>1183</v>
      </c>
      <c r="Q264" s="9">
        <v>220</v>
      </c>
      <c r="R264" s="8" t="s">
        <v>17</v>
      </c>
      <c r="S264" s="11">
        <v>211</v>
      </c>
      <c r="T264" s="10">
        <v>0.27</v>
      </c>
    </row>
    <row r="265" spans="1:20" x14ac:dyDescent="0.3">
      <c r="A265" s="7">
        <f t="shared" si="27"/>
        <v>260</v>
      </c>
      <c r="B265" s="8">
        <v>70</v>
      </c>
      <c r="C265" s="9" t="str">
        <f t="shared" si="25"/>
        <v>3600x85185fe3A4e36079818Ba1d12705A9B6898997040xa60AdD2af71a4f50b3F94509E71a1e9DbDeA5dDa1337225unidade1290027</v>
      </c>
      <c r="D265" s="13" t="s">
        <v>327</v>
      </c>
      <c r="E265" s="8" t="s">
        <v>1215</v>
      </c>
      <c r="F265" s="8">
        <f t="shared" si="23"/>
        <v>0</v>
      </c>
      <c r="G265" s="8">
        <f t="shared" si="23"/>
        <v>0</v>
      </c>
      <c r="H265" s="8">
        <f t="shared" si="23"/>
        <v>1</v>
      </c>
      <c r="I265" s="8">
        <f t="shared" si="23"/>
        <v>1</v>
      </c>
      <c r="J265" s="8">
        <f t="shared" si="24"/>
        <v>1</v>
      </c>
      <c r="K265" s="15">
        <v>2.314814628334716E-5</v>
      </c>
      <c r="M265" s="8">
        <f t="shared" si="26"/>
        <v>360</v>
      </c>
      <c r="N265" s="9" t="s">
        <v>63</v>
      </c>
      <c r="O265" s="9" t="s">
        <v>16</v>
      </c>
      <c r="P265" s="9">
        <v>1337</v>
      </c>
      <c r="Q265" s="9">
        <v>225</v>
      </c>
      <c r="R265" s="8" t="s">
        <v>17</v>
      </c>
      <c r="S265" s="11">
        <v>129</v>
      </c>
      <c r="T265" s="10">
        <v>0.27</v>
      </c>
    </row>
    <row r="266" spans="1:20" x14ac:dyDescent="0.3">
      <c r="A266" s="7">
        <f t="shared" si="27"/>
        <v>261</v>
      </c>
      <c r="B266" s="8">
        <v>1231</v>
      </c>
      <c r="C266" s="9" t="str">
        <f t="shared" si="25"/>
        <v>3610x85185fe3A4e36079818Ba1d12705A9B6898997040xa60AdD2af71a4f50b3F94509E71a1e9DbDeA5dDa1339126unidade1940027</v>
      </c>
      <c r="D266" s="13" t="s">
        <v>328</v>
      </c>
      <c r="E266" s="8" t="s">
        <v>1216</v>
      </c>
      <c r="F266" s="8">
        <f t="shared" si="23"/>
        <v>0</v>
      </c>
      <c r="G266" s="8">
        <f t="shared" si="23"/>
        <v>0</v>
      </c>
      <c r="H266" s="8">
        <f t="shared" si="23"/>
        <v>1</v>
      </c>
      <c r="I266" s="8">
        <f t="shared" si="23"/>
        <v>3</v>
      </c>
      <c r="J266" s="8">
        <f t="shared" si="24"/>
        <v>1</v>
      </c>
      <c r="K266" s="15">
        <v>3.125000002910383E-4</v>
      </c>
      <c r="M266" s="8">
        <f t="shared" si="26"/>
        <v>361</v>
      </c>
      <c r="N266" s="9" t="s">
        <v>63</v>
      </c>
      <c r="O266" s="9" t="s">
        <v>16</v>
      </c>
      <c r="P266" s="9">
        <v>1339</v>
      </c>
      <c r="Q266" s="9">
        <v>126</v>
      </c>
      <c r="R266" s="8" t="s">
        <v>17</v>
      </c>
      <c r="S266" s="11">
        <v>194</v>
      </c>
      <c r="T266" s="10">
        <v>0.27</v>
      </c>
    </row>
    <row r="267" spans="1:20" x14ac:dyDescent="0.3">
      <c r="A267" s="7">
        <f t="shared" si="27"/>
        <v>262</v>
      </c>
      <c r="B267" s="8">
        <v>110</v>
      </c>
      <c r="C267" s="9" t="str">
        <f t="shared" si="25"/>
        <v>3620x85185fe3A4e36079818Ba1d12705A9B6898997040xa60AdD2af71a4f50b3F94509E71a1e9DbDeA5dDa1205158unidade2450027</v>
      </c>
      <c r="D267" s="13" t="s">
        <v>329</v>
      </c>
      <c r="E267" s="8" t="s">
        <v>1217</v>
      </c>
      <c r="F267" s="8">
        <f t="shared" si="23"/>
        <v>0</v>
      </c>
      <c r="G267" s="8">
        <f t="shared" si="23"/>
        <v>0</v>
      </c>
      <c r="H267" s="8">
        <f t="shared" si="23"/>
        <v>1</v>
      </c>
      <c r="I267" s="8">
        <f t="shared" si="23"/>
        <v>5</v>
      </c>
      <c r="J267" s="8">
        <f t="shared" si="24"/>
        <v>1</v>
      </c>
      <c r="K267" s="15">
        <v>2.314814628334716E-5</v>
      </c>
      <c r="M267" s="8">
        <f t="shared" si="26"/>
        <v>362</v>
      </c>
      <c r="N267" s="9" t="s">
        <v>63</v>
      </c>
      <c r="O267" s="9" t="s">
        <v>16</v>
      </c>
      <c r="P267" s="9">
        <v>1205</v>
      </c>
      <c r="Q267" s="9">
        <v>158</v>
      </c>
      <c r="R267" s="8" t="s">
        <v>17</v>
      </c>
      <c r="S267" s="11">
        <v>245</v>
      </c>
      <c r="T267" s="10">
        <v>0.27</v>
      </c>
    </row>
    <row r="268" spans="1:20" x14ac:dyDescent="0.3">
      <c r="A268" s="7">
        <f t="shared" si="27"/>
        <v>263</v>
      </c>
      <c r="B268" s="8">
        <v>166</v>
      </c>
      <c r="C268" s="9" t="str">
        <f t="shared" si="25"/>
        <v>3630x85185fe3A4e36079818Ba1d12705A9B6898997040xa60AdD2af71a4f50b3F94509E71a1e9DbDeA5dDa1028236unidade2000027</v>
      </c>
      <c r="D268" s="13" t="s">
        <v>330</v>
      </c>
      <c r="E268" s="8" t="s">
        <v>1218</v>
      </c>
      <c r="F268" s="8">
        <f t="shared" si="23"/>
        <v>0</v>
      </c>
      <c r="G268" s="8">
        <f t="shared" si="23"/>
        <v>0</v>
      </c>
      <c r="H268" s="8">
        <f t="shared" si="23"/>
        <v>6</v>
      </c>
      <c r="I268" s="8">
        <f t="shared" si="23"/>
        <v>1</v>
      </c>
      <c r="J268" s="8">
        <f t="shared" si="24"/>
        <v>6</v>
      </c>
      <c r="K268" s="15">
        <v>4.6296299842651933E-5</v>
      </c>
      <c r="M268" s="8">
        <f t="shared" si="26"/>
        <v>363</v>
      </c>
      <c r="N268" s="9" t="s">
        <v>63</v>
      </c>
      <c r="O268" s="9" t="s">
        <v>16</v>
      </c>
      <c r="P268" s="9">
        <v>1028</v>
      </c>
      <c r="Q268" s="9">
        <v>236</v>
      </c>
      <c r="R268" s="8" t="s">
        <v>17</v>
      </c>
      <c r="S268" s="11">
        <v>200</v>
      </c>
      <c r="T268" s="10">
        <v>0.27</v>
      </c>
    </row>
    <row r="269" spans="1:20" x14ac:dyDescent="0.3">
      <c r="A269" s="7">
        <f t="shared" si="27"/>
        <v>264</v>
      </c>
      <c r="B269" s="8">
        <v>208</v>
      </c>
      <c r="C269" s="9" t="str">
        <f t="shared" si="25"/>
        <v>3640x85185fe3A4e36079818Ba1d12705A9B6898997040xa60AdD2af71a4f50b3F94509E71a1e9DbDeA5dDa1404205unidade1700027</v>
      </c>
      <c r="D269" s="13" t="s">
        <v>331</v>
      </c>
      <c r="E269" s="8" t="s">
        <v>1219</v>
      </c>
      <c r="F269" s="8">
        <f t="shared" si="23"/>
        <v>0</v>
      </c>
      <c r="G269" s="8">
        <f t="shared" si="23"/>
        <v>0</v>
      </c>
      <c r="H269" s="8">
        <f t="shared" si="23"/>
        <v>1</v>
      </c>
      <c r="I269" s="8">
        <f t="shared" si="23"/>
        <v>1</v>
      </c>
      <c r="J269" s="8">
        <f t="shared" si="24"/>
        <v>1</v>
      </c>
      <c r="K269" s="15">
        <v>5.7870369346346706E-5</v>
      </c>
      <c r="M269" s="8">
        <f t="shared" si="26"/>
        <v>364</v>
      </c>
      <c r="N269" s="9" t="s">
        <v>63</v>
      </c>
      <c r="O269" s="9" t="s">
        <v>16</v>
      </c>
      <c r="P269" s="9">
        <v>1404</v>
      </c>
      <c r="Q269" s="9">
        <v>205</v>
      </c>
      <c r="R269" s="8" t="s">
        <v>17</v>
      </c>
      <c r="S269" s="11">
        <v>170</v>
      </c>
      <c r="T269" s="10">
        <v>0.27</v>
      </c>
    </row>
    <row r="270" spans="1:20" x14ac:dyDescent="0.3">
      <c r="A270" s="7">
        <f t="shared" si="27"/>
        <v>265</v>
      </c>
      <c r="B270" s="8">
        <v>185</v>
      </c>
      <c r="C270" s="9" t="str">
        <f t="shared" si="25"/>
        <v>3650x85185fe3A4e36079818Ba1d12705A9B6898997040xa60AdD2af71a4f50b3F94509E71a1e9DbDeA5dDa1333118unidade1040027</v>
      </c>
      <c r="D270" s="13" t="s">
        <v>332</v>
      </c>
      <c r="E270" s="8" t="s">
        <v>1220</v>
      </c>
      <c r="F270" s="8">
        <f t="shared" si="23"/>
        <v>0</v>
      </c>
      <c r="G270" s="8">
        <f t="shared" si="23"/>
        <v>0</v>
      </c>
      <c r="H270" s="8">
        <f t="shared" si="23"/>
        <v>6</v>
      </c>
      <c r="I270" s="8">
        <f t="shared" si="23"/>
        <v>1</v>
      </c>
      <c r="J270" s="8">
        <f t="shared" si="24"/>
        <v>6</v>
      </c>
      <c r="K270" s="15">
        <v>4.6296299842651933E-5</v>
      </c>
      <c r="M270" s="8">
        <f t="shared" si="26"/>
        <v>365</v>
      </c>
      <c r="N270" s="9" t="s">
        <v>63</v>
      </c>
      <c r="O270" s="9" t="s">
        <v>16</v>
      </c>
      <c r="P270" s="9">
        <v>1333</v>
      </c>
      <c r="Q270" s="9">
        <v>118</v>
      </c>
      <c r="R270" s="8" t="s">
        <v>17</v>
      </c>
      <c r="S270" s="11">
        <v>104</v>
      </c>
      <c r="T270" s="10">
        <v>0.27</v>
      </c>
    </row>
    <row r="271" spans="1:20" x14ac:dyDescent="0.3">
      <c r="A271" s="7">
        <f t="shared" si="27"/>
        <v>266</v>
      </c>
      <c r="B271" s="8">
        <v>85</v>
      </c>
      <c r="C271" s="9" t="str">
        <f t="shared" si="25"/>
        <v>3660x85185fe3A4e36079818Ba1d12705A9B6898997040xa60AdD2af71a4f50b3F94509E71a1e9DbDeA5dDa1302211unidade1660027</v>
      </c>
      <c r="D271" s="13" t="s">
        <v>333</v>
      </c>
      <c r="E271" s="8" t="s">
        <v>1221</v>
      </c>
      <c r="F271" s="8">
        <f t="shared" si="23"/>
        <v>0</v>
      </c>
      <c r="G271" s="8">
        <f t="shared" si="23"/>
        <v>0</v>
      </c>
      <c r="H271" s="8">
        <f t="shared" si="23"/>
        <v>3</v>
      </c>
      <c r="I271" s="8">
        <f t="shared" si="23"/>
        <v>1</v>
      </c>
      <c r="J271" s="8">
        <f t="shared" si="24"/>
        <v>3</v>
      </c>
      <c r="K271" s="15">
        <v>2.314814628334716E-5</v>
      </c>
      <c r="M271" s="8">
        <f t="shared" si="26"/>
        <v>366</v>
      </c>
      <c r="N271" s="9" t="s">
        <v>63</v>
      </c>
      <c r="O271" s="9" t="s">
        <v>16</v>
      </c>
      <c r="P271" s="9">
        <v>1302</v>
      </c>
      <c r="Q271" s="9">
        <v>211</v>
      </c>
      <c r="R271" s="8" t="s">
        <v>17</v>
      </c>
      <c r="S271" s="11">
        <v>166</v>
      </c>
      <c r="T271" s="10">
        <v>0.27</v>
      </c>
    </row>
    <row r="272" spans="1:20" x14ac:dyDescent="0.3">
      <c r="A272" s="7">
        <f t="shared" si="27"/>
        <v>267</v>
      </c>
      <c r="B272" s="8">
        <v>238</v>
      </c>
      <c r="C272" s="9" t="str">
        <f t="shared" si="25"/>
        <v>3670x85185fe3A4e36079818Ba1d12705A9B6898997040xa60AdD2af71a4f50b3F94509E71a1e9DbDeA5dDa1169295unidade2060027</v>
      </c>
      <c r="D272" s="13" t="s">
        <v>334</v>
      </c>
      <c r="E272" s="8" t="s">
        <v>1222</v>
      </c>
      <c r="F272" s="8">
        <f t="shared" si="23"/>
        <v>0</v>
      </c>
      <c r="G272" s="8">
        <f t="shared" si="23"/>
        <v>0</v>
      </c>
      <c r="H272" s="8">
        <f t="shared" si="23"/>
        <v>1</v>
      </c>
      <c r="I272" s="8">
        <f t="shared" si="23"/>
        <v>2</v>
      </c>
      <c r="J272" s="8">
        <f t="shared" si="24"/>
        <v>1</v>
      </c>
      <c r="K272" s="15">
        <v>5.7870369346346706E-5</v>
      </c>
      <c r="M272" s="8">
        <f t="shared" si="26"/>
        <v>367</v>
      </c>
      <c r="N272" s="9" t="s">
        <v>63</v>
      </c>
      <c r="O272" s="9" t="s">
        <v>16</v>
      </c>
      <c r="P272" s="9">
        <v>1169</v>
      </c>
      <c r="Q272" s="9">
        <v>295</v>
      </c>
      <c r="R272" s="8" t="s">
        <v>17</v>
      </c>
      <c r="S272" s="11">
        <v>206</v>
      </c>
      <c r="T272" s="10">
        <v>0.27</v>
      </c>
    </row>
    <row r="273" spans="1:20" x14ac:dyDescent="0.3">
      <c r="A273" s="7">
        <f t="shared" si="27"/>
        <v>268</v>
      </c>
      <c r="B273" s="8">
        <v>9</v>
      </c>
      <c r="C273" s="9" t="str">
        <f t="shared" si="25"/>
        <v>3680x85185fe3A4e36079818Ba1d12705A9B6898997040xa60AdD2af71a4f50b3F94509E71a1e9DbDeA5dDa1716164unidade1220027</v>
      </c>
      <c r="D273" s="13" t="s">
        <v>335</v>
      </c>
      <c r="E273" s="8" t="s">
        <v>1223</v>
      </c>
      <c r="F273" s="8">
        <f t="shared" si="23"/>
        <v>0</v>
      </c>
      <c r="G273" s="8">
        <f t="shared" si="23"/>
        <v>0</v>
      </c>
      <c r="H273" s="8">
        <f t="shared" si="23"/>
        <v>7</v>
      </c>
      <c r="I273" s="8">
        <f t="shared" si="23"/>
        <v>3</v>
      </c>
      <c r="J273" s="8">
        <f t="shared" si="24"/>
        <v>7</v>
      </c>
      <c r="K273" s="15">
        <v>1.1574076779652387E-5</v>
      </c>
      <c r="M273" s="8">
        <f t="shared" si="26"/>
        <v>368</v>
      </c>
      <c r="N273" s="9" t="s">
        <v>63</v>
      </c>
      <c r="O273" s="9" t="s">
        <v>16</v>
      </c>
      <c r="P273" s="9">
        <v>1716</v>
      </c>
      <c r="Q273" s="9">
        <v>164</v>
      </c>
      <c r="R273" s="8" t="s">
        <v>17</v>
      </c>
      <c r="S273" s="11">
        <v>122</v>
      </c>
      <c r="T273" s="10">
        <v>0.27</v>
      </c>
    </row>
    <row r="274" spans="1:20" x14ac:dyDescent="0.3">
      <c r="A274" s="7">
        <f t="shared" si="27"/>
        <v>269</v>
      </c>
      <c r="B274" s="8">
        <v>94</v>
      </c>
      <c r="C274" s="9" t="str">
        <f t="shared" si="25"/>
        <v>3690x85185fe3A4e36079818Ba1d12705A9B6898997040xa60AdD2af71a4f50b3F94509E71a1e9DbDeA5dDa1411126unidade870027</v>
      </c>
      <c r="D274" s="13" t="s">
        <v>336</v>
      </c>
      <c r="E274" s="8" t="s">
        <v>1224</v>
      </c>
      <c r="F274" s="8">
        <f t="shared" si="23"/>
        <v>0</v>
      </c>
      <c r="G274" s="8">
        <f t="shared" si="23"/>
        <v>0</v>
      </c>
      <c r="H274" s="8">
        <f t="shared" si="23"/>
        <v>1</v>
      </c>
      <c r="I274" s="8">
        <f t="shared" si="23"/>
        <v>1</v>
      </c>
      <c r="J274" s="8">
        <f t="shared" si="24"/>
        <v>1</v>
      </c>
      <c r="K274" s="15">
        <v>2.314814628334716E-5</v>
      </c>
      <c r="M274" s="8">
        <f t="shared" si="26"/>
        <v>369</v>
      </c>
      <c r="N274" s="9" t="s">
        <v>63</v>
      </c>
      <c r="O274" s="9" t="s">
        <v>16</v>
      </c>
      <c r="P274" s="9">
        <v>1411</v>
      </c>
      <c r="Q274" s="9">
        <v>126</v>
      </c>
      <c r="R274" s="8" t="s">
        <v>17</v>
      </c>
      <c r="S274" s="11">
        <v>87</v>
      </c>
      <c r="T274" s="10">
        <v>0.27</v>
      </c>
    </row>
    <row r="275" spans="1:20" x14ac:dyDescent="0.3">
      <c r="A275" s="7">
        <f t="shared" si="27"/>
        <v>270</v>
      </c>
      <c r="B275" s="8">
        <v>317</v>
      </c>
      <c r="C275" s="9" t="str">
        <f t="shared" si="25"/>
        <v>3700x85185fe3A4e36079818Ba1d12705A9B6898997040xa60AdD2af71a4f50b3F94509E71a1e9DbDeA5dDa1825425unidade2180027</v>
      </c>
      <c r="D275" s="13" t="s">
        <v>337</v>
      </c>
      <c r="E275" s="8" t="s">
        <v>1225</v>
      </c>
      <c r="F275" s="8">
        <f t="shared" si="23"/>
        <v>0</v>
      </c>
      <c r="G275" s="8">
        <f t="shared" si="23"/>
        <v>0</v>
      </c>
      <c r="H275" s="8">
        <f t="shared" si="23"/>
        <v>6</v>
      </c>
      <c r="I275" s="8">
        <f t="shared" si="23"/>
        <v>1</v>
      </c>
      <c r="J275" s="8">
        <f t="shared" si="24"/>
        <v>6</v>
      </c>
      <c r="K275" s="15">
        <v>8.1018515629693866E-5</v>
      </c>
      <c r="M275" s="8">
        <f t="shared" si="26"/>
        <v>370</v>
      </c>
      <c r="N275" s="9" t="s">
        <v>63</v>
      </c>
      <c r="O275" s="9" t="s">
        <v>16</v>
      </c>
      <c r="P275" s="9">
        <v>1825</v>
      </c>
      <c r="Q275" s="9">
        <v>425</v>
      </c>
      <c r="R275" s="8" t="s">
        <v>17</v>
      </c>
      <c r="S275" s="11">
        <v>218</v>
      </c>
      <c r="T275" s="10">
        <v>0.27</v>
      </c>
    </row>
    <row r="276" spans="1:20" x14ac:dyDescent="0.3">
      <c r="A276" s="7">
        <f t="shared" si="27"/>
        <v>271</v>
      </c>
      <c r="B276" s="8">
        <v>104</v>
      </c>
      <c r="C276" s="9" t="str">
        <f t="shared" si="25"/>
        <v>3710x85185fe3A4e36079818Ba1d12705A9B6898997040xa60AdD2af71a4f50b3F94509E71a1e9DbDeA5dDa1643325unidade2400027</v>
      </c>
      <c r="D276" s="13" t="s">
        <v>338</v>
      </c>
      <c r="E276" s="8" t="s">
        <v>1226</v>
      </c>
      <c r="F276" s="8">
        <f t="shared" si="23"/>
        <v>0</v>
      </c>
      <c r="G276" s="8">
        <f t="shared" si="23"/>
        <v>0</v>
      </c>
      <c r="H276" s="8">
        <f t="shared" si="23"/>
        <v>1</v>
      </c>
      <c r="I276" s="8">
        <f t="shared" si="23"/>
        <v>1</v>
      </c>
      <c r="J276" s="8">
        <f t="shared" si="24"/>
        <v>1</v>
      </c>
      <c r="K276" s="15">
        <v>2.3148153559304774E-5</v>
      </c>
      <c r="M276" s="8">
        <f t="shared" si="26"/>
        <v>371</v>
      </c>
      <c r="N276" s="9" t="s">
        <v>63</v>
      </c>
      <c r="O276" s="9" t="s">
        <v>16</v>
      </c>
      <c r="P276" s="9">
        <v>1643</v>
      </c>
      <c r="Q276" s="9">
        <v>325</v>
      </c>
      <c r="R276" s="8" t="s">
        <v>17</v>
      </c>
      <c r="S276" s="11">
        <v>240</v>
      </c>
      <c r="T276" s="10">
        <v>0.27</v>
      </c>
    </row>
    <row r="277" spans="1:20" x14ac:dyDescent="0.3">
      <c r="A277" s="7">
        <f t="shared" si="27"/>
        <v>272</v>
      </c>
      <c r="B277" s="8">
        <v>796</v>
      </c>
      <c r="C277" s="9" t="str">
        <f t="shared" si="25"/>
        <v>3720x85185fe3A4e36079818Ba1d12705A9B6898997040xa60AdD2af71a4f50b3F94509E71a1e9DbDeA5dDa1955260unidade1370027</v>
      </c>
      <c r="D277" s="13" t="s">
        <v>339</v>
      </c>
      <c r="E277" s="8" t="s">
        <v>1227</v>
      </c>
      <c r="F277" s="8">
        <f t="shared" si="23"/>
        <v>0</v>
      </c>
      <c r="G277" s="8">
        <f t="shared" si="23"/>
        <v>0</v>
      </c>
      <c r="H277" s="8">
        <f t="shared" si="23"/>
        <v>1</v>
      </c>
      <c r="I277" s="8">
        <f t="shared" si="23"/>
        <v>1</v>
      </c>
      <c r="J277" s="8">
        <f t="shared" si="24"/>
        <v>1</v>
      </c>
      <c r="K277" s="15">
        <v>2.0833333110203966E-4</v>
      </c>
      <c r="M277" s="8">
        <f t="shared" si="26"/>
        <v>372</v>
      </c>
      <c r="N277" s="9" t="s">
        <v>63</v>
      </c>
      <c r="O277" s="9" t="s">
        <v>16</v>
      </c>
      <c r="P277" s="9">
        <v>1955</v>
      </c>
      <c r="Q277" s="9">
        <v>260</v>
      </c>
      <c r="R277" s="8" t="s">
        <v>17</v>
      </c>
      <c r="S277" s="11">
        <v>137</v>
      </c>
      <c r="T277" s="10">
        <v>0.27</v>
      </c>
    </row>
    <row r="278" spans="1:20" x14ac:dyDescent="0.3">
      <c r="A278" s="7">
        <f t="shared" si="27"/>
        <v>273</v>
      </c>
      <c r="B278" s="8">
        <v>47</v>
      </c>
      <c r="C278" s="9" t="str">
        <f t="shared" si="25"/>
        <v>3730x85185fe3A4e36079818Ba1d12705A9B6898997040xa60AdD2af71a4f50b3F94509E71a1e9DbDeA5dDa1601222unidade940027</v>
      </c>
      <c r="D278" s="13" t="s">
        <v>340</v>
      </c>
      <c r="E278" s="8" t="s">
        <v>1228</v>
      </c>
      <c r="F278" s="8">
        <f t="shared" si="23"/>
        <v>0</v>
      </c>
      <c r="G278" s="8">
        <f t="shared" si="23"/>
        <v>0</v>
      </c>
      <c r="H278" s="8">
        <f t="shared" si="23"/>
        <v>3</v>
      </c>
      <c r="I278" s="8">
        <f t="shared" si="23"/>
        <v>1</v>
      </c>
      <c r="J278" s="8">
        <f t="shared" si="24"/>
        <v>3</v>
      </c>
      <c r="K278" s="15">
        <v>1.1574069503694773E-5</v>
      </c>
      <c r="M278" s="8">
        <f t="shared" si="26"/>
        <v>373</v>
      </c>
      <c r="N278" s="9" t="s">
        <v>63</v>
      </c>
      <c r="O278" s="9" t="s">
        <v>16</v>
      </c>
      <c r="P278" s="9">
        <v>1601</v>
      </c>
      <c r="Q278" s="9">
        <v>222</v>
      </c>
      <c r="R278" s="8" t="s">
        <v>17</v>
      </c>
      <c r="S278" s="11">
        <v>94</v>
      </c>
      <c r="T278" s="10">
        <v>0.27</v>
      </c>
    </row>
    <row r="279" spans="1:20" x14ac:dyDescent="0.3">
      <c r="A279" s="7">
        <f t="shared" si="27"/>
        <v>274</v>
      </c>
      <c r="B279" s="8">
        <v>533</v>
      </c>
      <c r="C279" s="9" t="str">
        <f t="shared" si="25"/>
        <v>3740x85185fe3A4e36079818Ba1d12705A9B6898997040xa60AdD2af71a4f50b3F94509E71a1e9DbDeA5dDa1229405unidade1170027</v>
      </c>
      <c r="D279" s="13" t="s">
        <v>341</v>
      </c>
      <c r="E279" s="8" t="s">
        <v>1229</v>
      </c>
      <c r="F279" s="8">
        <f t="shared" si="23"/>
        <v>0</v>
      </c>
      <c r="G279" s="8">
        <f t="shared" si="23"/>
        <v>0</v>
      </c>
      <c r="H279" s="8">
        <f t="shared" si="23"/>
        <v>8</v>
      </c>
      <c r="I279" s="8">
        <f t="shared" si="23"/>
        <v>7</v>
      </c>
      <c r="J279" s="8">
        <f t="shared" si="24"/>
        <v>8</v>
      </c>
      <c r="K279" s="15">
        <v>1.3888889225199819E-4</v>
      </c>
      <c r="M279" s="8">
        <f t="shared" si="26"/>
        <v>374</v>
      </c>
      <c r="N279" s="9" t="s">
        <v>63</v>
      </c>
      <c r="O279" s="9" t="s">
        <v>16</v>
      </c>
      <c r="P279" s="9">
        <v>1229</v>
      </c>
      <c r="Q279" s="9">
        <v>405</v>
      </c>
      <c r="R279" s="8" t="s">
        <v>17</v>
      </c>
      <c r="S279" s="11">
        <v>117</v>
      </c>
      <c r="T279" s="10">
        <v>0.27</v>
      </c>
    </row>
    <row r="280" spans="1:20" x14ac:dyDescent="0.3">
      <c r="A280" s="7">
        <f t="shared" si="27"/>
        <v>275</v>
      </c>
      <c r="B280" s="8">
        <v>788</v>
      </c>
      <c r="C280" s="9" t="str">
        <f t="shared" si="25"/>
        <v>3750x85185fe3A4e36079818Ba1d12705A9B6898997040xa60AdD2af71a4f50b3F94509E71a1e9DbDeA5dDa1924228unidade1410027</v>
      </c>
      <c r="D280" s="13" t="s">
        <v>342</v>
      </c>
      <c r="E280" s="8" t="s">
        <v>1230</v>
      </c>
      <c r="F280" s="8">
        <f t="shared" si="23"/>
        <v>0</v>
      </c>
      <c r="G280" s="8">
        <f t="shared" si="23"/>
        <v>0</v>
      </c>
      <c r="H280" s="8">
        <f t="shared" si="23"/>
        <v>1</v>
      </c>
      <c r="I280" s="8">
        <f t="shared" si="23"/>
        <v>1</v>
      </c>
      <c r="J280" s="8">
        <f t="shared" si="24"/>
        <v>1</v>
      </c>
      <c r="K280" s="15">
        <v>1.9675926159834489E-4</v>
      </c>
      <c r="M280" s="8">
        <f t="shared" si="26"/>
        <v>375</v>
      </c>
      <c r="N280" s="9" t="s">
        <v>63</v>
      </c>
      <c r="O280" s="9" t="s">
        <v>16</v>
      </c>
      <c r="P280" s="9">
        <v>1924</v>
      </c>
      <c r="Q280" s="9">
        <v>228</v>
      </c>
      <c r="R280" s="8" t="s">
        <v>17</v>
      </c>
      <c r="S280" s="11">
        <v>141</v>
      </c>
      <c r="T280" s="10">
        <v>0.27</v>
      </c>
    </row>
    <row r="281" spans="1:20" x14ac:dyDescent="0.3">
      <c r="A281" s="7">
        <f t="shared" si="27"/>
        <v>276</v>
      </c>
      <c r="B281" s="8">
        <v>530</v>
      </c>
      <c r="C281" s="9" t="str">
        <f t="shared" si="25"/>
        <v>3760x85185fe3A4e36079818Ba1d12705A9B6898997040xa60AdD2af71a4f50b3F94509E71a1e9DbDeA5dDa1999305unidade910027</v>
      </c>
      <c r="D281" s="13" t="s">
        <v>343</v>
      </c>
      <c r="E281" s="8" t="s">
        <v>743</v>
      </c>
      <c r="F281" s="8">
        <f t="shared" si="23"/>
        <v>0</v>
      </c>
      <c r="G281" s="8">
        <f t="shared" si="23"/>
        <v>0</v>
      </c>
      <c r="H281" s="8">
        <f t="shared" si="23"/>
        <v>0</v>
      </c>
      <c r="I281" s="8">
        <f t="shared" si="23"/>
        <v>1</v>
      </c>
      <c r="J281" s="8">
        <f t="shared" si="24"/>
        <v>0</v>
      </c>
      <c r="K281" s="15">
        <v>1.3888888497604057E-4</v>
      </c>
      <c r="M281" s="8">
        <f t="shared" si="26"/>
        <v>376</v>
      </c>
      <c r="N281" s="9" t="s">
        <v>63</v>
      </c>
      <c r="O281" s="9" t="s">
        <v>16</v>
      </c>
      <c r="P281" s="9">
        <v>1999</v>
      </c>
      <c r="Q281" s="9">
        <v>305</v>
      </c>
      <c r="R281" s="8" t="s">
        <v>17</v>
      </c>
      <c r="S281" s="11">
        <v>91</v>
      </c>
      <c r="T281" s="10">
        <v>0.27</v>
      </c>
    </row>
    <row r="282" spans="1:20" x14ac:dyDescent="0.3">
      <c r="A282" s="7">
        <f t="shared" si="27"/>
        <v>277</v>
      </c>
      <c r="B282" s="8">
        <v>308</v>
      </c>
      <c r="C282" s="9" t="str">
        <f t="shared" si="25"/>
        <v>3770x85185fe3A4e36079818Ba1d12705A9B6898997040xa60AdD2af71a4f50b3F94509E71a1e9DbDeA5dDa1775222unidade1950027</v>
      </c>
      <c r="D282" s="13" t="s">
        <v>344</v>
      </c>
      <c r="E282" s="8" t="s">
        <v>1231</v>
      </c>
      <c r="F282" s="8">
        <f t="shared" si="23"/>
        <v>0</v>
      </c>
      <c r="G282" s="8">
        <f t="shared" si="23"/>
        <v>0</v>
      </c>
      <c r="H282" s="8">
        <f t="shared" si="23"/>
        <v>9</v>
      </c>
      <c r="I282" s="8">
        <f t="shared" si="23"/>
        <v>1</v>
      </c>
      <c r="J282" s="8">
        <f t="shared" si="24"/>
        <v>9</v>
      </c>
      <c r="K282" s="15">
        <v>8.101852290565148E-5</v>
      </c>
      <c r="M282" s="8">
        <f t="shared" si="26"/>
        <v>377</v>
      </c>
      <c r="N282" s="9" t="s">
        <v>63</v>
      </c>
      <c r="O282" s="9" t="s">
        <v>16</v>
      </c>
      <c r="P282" s="9">
        <v>1775</v>
      </c>
      <c r="Q282" s="9">
        <v>222</v>
      </c>
      <c r="R282" s="8" t="s">
        <v>17</v>
      </c>
      <c r="S282" s="11">
        <v>195</v>
      </c>
      <c r="T282" s="10">
        <v>0.27</v>
      </c>
    </row>
    <row r="283" spans="1:20" x14ac:dyDescent="0.3">
      <c r="A283" s="7">
        <f t="shared" si="27"/>
        <v>278</v>
      </c>
      <c r="B283" s="8">
        <v>245</v>
      </c>
      <c r="C283" s="9" t="str">
        <f t="shared" si="25"/>
        <v>3780x85185fe3A4e36079818Ba1d12705A9B6898997040xa60AdD2af71a4f50b3F94509E71a1e9DbDeA5dDa1302133unidade1070027</v>
      </c>
      <c r="D283" s="13" t="s">
        <v>345</v>
      </c>
      <c r="E283" s="8" t="s">
        <v>1232</v>
      </c>
      <c r="F283" s="8">
        <f t="shared" si="23"/>
        <v>0</v>
      </c>
      <c r="G283" s="8">
        <f t="shared" si="23"/>
        <v>0</v>
      </c>
      <c r="H283" s="8">
        <f t="shared" si="23"/>
        <v>1</v>
      </c>
      <c r="I283" s="8">
        <f t="shared" si="23"/>
        <v>1</v>
      </c>
      <c r="J283" s="8">
        <f t="shared" si="24"/>
        <v>1</v>
      </c>
      <c r="K283" s="15">
        <v>6.9444438850041479E-5</v>
      </c>
      <c r="M283" s="8">
        <f t="shared" si="26"/>
        <v>378</v>
      </c>
      <c r="N283" s="9" t="s">
        <v>63</v>
      </c>
      <c r="O283" s="9" t="s">
        <v>16</v>
      </c>
      <c r="P283" s="9">
        <v>1302</v>
      </c>
      <c r="Q283" s="9">
        <v>133</v>
      </c>
      <c r="R283" s="8" t="s">
        <v>17</v>
      </c>
      <c r="S283" s="11">
        <v>107</v>
      </c>
      <c r="T283" s="10">
        <v>0.27</v>
      </c>
    </row>
    <row r="284" spans="1:20" x14ac:dyDescent="0.3">
      <c r="A284" s="7">
        <f t="shared" si="27"/>
        <v>279</v>
      </c>
      <c r="B284" s="8">
        <v>527</v>
      </c>
      <c r="C284" s="9" t="str">
        <f t="shared" si="25"/>
        <v>3790x85185fe3A4e36079818Ba1d12705A9B6898997040xa60AdD2af71a4f50b3F94509E71a1e9DbDeA5dDa1750385unidade1570027</v>
      </c>
      <c r="D284" s="13" t="s">
        <v>346</v>
      </c>
      <c r="E284" s="8" t="s">
        <v>746</v>
      </c>
      <c r="F284" s="8">
        <f t="shared" si="23"/>
        <v>0</v>
      </c>
      <c r="G284" s="8">
        <f t="shared" si="23"/>
        <v>0</v>
      </c>
      <c r="H284" s="8">
        <f t="shared" si="23"/>
        <v>0</v>
      </c>
      <c r="I284" s="8">
        <f t="shared" si="23"/>
        <v>4</v>
      </c>
      <c r="J284" s="8">
        <f t="shared" si="24"/>
        <v>0</v>
      </c>
      <c r="K284" s="15">
        <v>1.273148154723458E-4</v>
      </c>
      <c r="M284" s="8">
        <f t="shared" si="26"/>
        <v>379</v>
      </c>
      <c r="N284" s="9" t="s">
        <v>63</v>
      </c>
      <c r="O284" s="9" t="s">
        <v>16</v>
      </c>
      <c r="P284" s="9">
        <v>1750</v>
      </c>
      <c r="Q284" s="9">
        <v>385</v>
      </c>
      <c r="R284" s="8" t="s">
        <v>17</v>
      </c>
      <c r="S284" s="11">
        <v>157</v>
      </c>
      <c r="T284" s="10">
        <v>0.27</v>
      </c>
    </row>
    <row r="285" spans="1:20" x14ac:dyDescent="0.3">
      <c r="A285" s="7">
        <f t="shared" si="27"/>
        <v>280</v>
      </c>
      <c r="B285" s="8">
        <v>76</v>
      </c>
      <c r="C285" s="9" t="str">
        <f t="shared" si="25"/>
        <v>3800x85185fe3A4e36079818Ba1d12705A9B6898997040xa60AdD2af71a4f50b3F94509E71a1e9DbDeA5dDa1834252unidade920027</v>
      </c>
      <c r="D285" s="13" t="s">
        <v>347</v>
      </c>
      <c r="E285" s="8" t="s">
        <v>1233</v>
      </c>
      <c r="F285" s="8">
        <f t="shared" si="23"/>
        <v>0</v>
      </c>
      <c r="G285" s="8">
        <f t="shared" si="23"/>
        <v>0</v>
      </c>
      <c r="H285" s="8">
        <f t="shared" si="23"/>
        <v>7</v>
      </c>
      <c r="I285" s="8">
        <f t="shared" si="23"/>
        <v>1</v>
      </c>
      <c r="J285" s="8">
        <f t="shared" si="24"/>
        <v>7</v>
      </c>
      <c r="K285" s="15">
        <v>2.3148153559304774E-5</v>
      </c>
      <c r="M285" s="8">
        <f t="shared" si="26"/>
        <v>380</v>
      </c>
      <c r="N285" s="9" t="s">
        <v>63</v>
      </c>
      <c r="O285" s="9" t="s">
        <v>16</v>
      </c>
      <c r="P285" s="9">
        <v>1834</v>
      </c>
      <c r="Q285" s="9">
        <v>252</v>
      </c>
      <c r="R285" s="8" t="s">
        <v>17</v>
      </c>
      <c r="S285" s="11">
        <v>92</v>
      </c>
      <c r="T285" s="10">
        <v>0.27</v>
      </c>
    </row>
    <row r="286" spans="1:20" x14ac:dyDescent="0.3">
      <c r="A286" s="7">
        <f t="shared" si="27"/>
        <v>281</v>
      </c>
      <c r="B286" s="8">
        <v>232</v>
      </c>
      <c r="C286" s="9" t="str">
        <f t="shared" si="25"/>
        <v>3810x85185fe3A4e36079818Ba1d12705A9B6898997040xa60AdD2af71a4f50b3F94509E71a1e9DbDeA5dDa1216291unidade850027</v>
      </c>
      <c r="D286" s="13" t="s">
        <v>348</v>
      </c>
      <c r="E286" s="8" t="s">
        <v>1234</v>
      </c>
      <c r="F286" s="8">
        <f t="shared" si="23"/>
        <v>0</v>
      </c>
      <c r="G286" s="8">
        <f t="shared" si="23"/>
        <v>0</v>
      </c>
      <c r="H286" s="8">
        <f t="shared" si="23"/>
        <v>3</v>
      </c>
      <c r="I286" s="8">
        <f t="shared" si="23"/>
        <v>0</v>
      </c>
      <c r="J286" s="8">
        <f t="shared" si="24"/>
        <v>3</v>
      </c>
      <c r="K286" s="15">
        <v>5.7870369346346706E-5</v>
      </c>
      <c r="M286" s="8">
        <f t="shared" si="26"/>
        <v>381</v>
      </c>
      <c r="N286" s="9" t="s">
        <v>63</v>
      </c>
      <c r="O286" s="9" t="s">
        <v>16</v>
      </c>
      <c r="P286" s="9">
        <v>1216</v>
      </c>
      <c r="Q286" s="9">
        <v>291</v>
      </c>
      <c r="R286" s="8" t="s">
        <v>17</v>
      </c>
      <c r="S286" s="11">
        <v>85</v>
      </c>
      <c r="T286" s="10">
        <v>0.27</v>
      </c>
    </row>
    <row r="287" spans="1:20" x14ac:dyDescent="0.3">
      <c r="A287" s="7">
        <f t="shared" si="27"/>
        <v>282</v>
      </c>
      <c r="B287" s="8">
        <v>19</v>
      </c>
      <c r="C287" s="9" t="str">
        <f t="shared" si="25"/>
        <v>3820x85185fe3A4e36079818Ba1d12705A9B6898997040xa60AdD2af71a4f50b3F94509E71a1e9DbDeA5dDa1228412unidade1380027</v>
      </c>
      <c r="D287" s="13" t="s">
        <v>349</v>
      </c>
      <c r="E287" s="8" t="s">
        <v>1235</v>
      </c>
      <c r="F287" s="8">
        <f t="shared" si="23"/>
        <v>0</v>
      </c>
      <c r="G287" s="8">
        <f t="shared" si="23"/>
        <v>0</v>
      </c>
      <c r="H287" s="8">
        <f t="shared" si="23"/>
        <v>2</v>
      </c>
      <c r="I287" s="8">
        <f t="shared" si="23"/>
        <v>8</v>
      </c>
      <c r="J287" s="8">
        <f t="shared" si="24"/>
        <v>2</v>
      </c>
      <c r="K287" s="15">
        <v>0</v>
      </c>
      <c r="M287" s="8">
        <f t="shared" si="26"/>
        <v>382</v>
      </c>
      <c r="N287" s="9" t="s">
        <v>63</v>
      </c>
      <c r="O287" s="9" t="s">
        <v>16</v>
      </c>
      <c r="P287" s="9">
        <v>1228</v>
      </c>
      <c r="Q287" s="9">
        <v>412</v>
      </c>
      <c r="R287" s="8" t="s">
        <v>17</v>
      </c>
      <c r="S287" s="11">
        <v>138</v>
      </c>
      <c r="T287" s="10">
        <v>0.27</v>
      </c>
    </row>
    <row r="288" spans="1:20" x14ac:dyDescent="0.3">
      <c r="A288" s="7">
        <f t="shared" si="27"/>
        <v>283</v>
      </c>
      <c r="B288" s="8">
        <v>20</v>
      </c>
      <c r="C288" s="9" t="str">
        <f t="shared" si="25"/>
        <v>3830x85185fe3A4e36079818Ba1d12705A9B6898997040xa60AdD2af71a4f50b3F94509E71a1e9DbDeA5dDa1707374unidade2010027</v>
      </c>
      <c r="D288" s="13" t="s">
        <v>350</v>
      </c>
      <c r="E288" s="8" t="s">
        <v>750</v>
      </c>
      <c r="F288" s="8">
        <f t="shared" si="23"/>
        <v>0</v>
      </c>
      <c r="G288" s="8">
        <f t="shared" si="23"/>
        <v>0</v>
      </c>
      <c r="H288" s="8">
        <f t="shared" si="23"/>
        <v>0</v>
      </c>
      <c r="I288" s="8">
        <f t="shared" si="23"/>
        <v>2</v>
      </c>
      <c r="J288" s="8">
        <f t="shared" si="24"/>
        <v>0</v>
      </c>
      <c r="K288" s="15">
        <v>0</v>
      </c>
      <c r="M288" s="8">
        <f t="shared" si="26"/>
        <v>383</v>
      </c>
      <c r="N288" s="9" t="s">
        <v>63</v>
      </c>
      <c r="O288" s="9" t="s">
        <v>16</v>
      </c>
      <c r="P288" s="9">
        <v>1707</v>
      </c>
      <c r="Q288" s="9">
        <v>374</v>
      </c>
      <c r="R288" s="8" t="s">
        <v>17</v>
      </c>
      <c r="S288" s="11">
        <v>201</v>
      </c>
      <c r="T288" s="10">
        <v>0.27</v>
      </c>
    </row>
    <row r="289" spans="1:20" x14ac:dyDescent="0.3">
      <c r="A289" s="7">
        <f t="shared" si="27"/>
        <v>284</v>
      </c>
      <c r="B289" s="8">
        <v>340</v>
      </c>
      <c r="C289" s="9" t="str">
        <f t="shared" si="25"/>
        <v>3840x85185fe3A4e36079818Ba1d12705A9B6898997040xa60AdD2af71a4f50b3F94509E71a1e9DbDeA5dDa1134260unidade1190027</v>
      </c>
      <c r="D289" s="13" t="s">
        <v>351</v>
      </c>
      <c r="E289" s="8" t="s">
        <v>1236</v>
      </c>
      <c r="F289" s="8">
        <f t="shared" si="23"/>
        <v>0</v>
      </c>
      <c r="G289" s="8">
        <f t="shared" si="23"/>
        <v>0</v>
      </c>
      <c r="H289" s="8">
        <f t="shared" si="23"/>
        <v>1</v>
      </c>
      <c r="I289" s="8">
        <f t="shared" si="23"/>
        <v>7</v>
      </c>
      <c r="J289" s="8">
        <f t="shared" si="24"/>
        <v>1</v>
      </c>
      <c r="K289" s="15">
        <v>9.2592592409346253E-5</v>
      </c>
      <c r="M289" s="8">
        <f t="shared" si="26"/>
        <v>384</v>
      </c>
      <c r="N289" s="9" t="s">
        <v>63</v>
      </c>
      <c r="O289" s="9" t="s">
        <v>16</v>
      </c>
      <c r="P289" s="9">
        <v>1134</v>
      </c>
      <c r="Q289" s="9">
        <v>260</v>
      </c>
      <c r="R289" s="8" t="s">
        <v>17</v>
      </c>
      <c r="S289" s="11">
        <v>119</v>
      </c>
      <c r="T289" s="10">
        <v>0.27</v>
      </c>
    </row>
    <row r="290" spans="1:20" x14ac:dyDescent="0.3">
      <c r="A290" s="7">
        <f t="shared" si="27"/>
        <v>285</v>
      </c>
      <c r="B290" s="8">
        <v>146</v>
      </c>
      <c r="C290" s="9" t="str">
        <f t="shared" si="25"/>
        <v>3850x85185fe3A4e36079818Ba1d12705A9B6898997040xa60AdD2af71a4f50b3F94509E71a1e9DbDeA5dDa1071425unidade2040027</v>
      </c>
      <c r="D290" s="13" t="s">
        <v>352</v>
      </c>
      <c r="E290" s="8" t="s">
        <v>1237</v>
      </c>
      <c r="F290" s="8">
        <f t="shared" si="23"/>
        <v>0</v>
      </c>
      <c r="G290" s="8">
        <f t="shared" si="23"/>
        <v>0</v>
      </c>
      <c r="H290" s="8">
        <f t="shared" si="23"/>
        <v>7</v>
      </c>
      <c r="I290" s="8">
        <f t="shared" si="23"/>
        <v>1</v>
      </c>
      <c r="J290" s="8">
        <f t="shared" si="24"/>
        <v>7</v>
      </c>
      <c r="K290" s="15">
        <v>3.4722223062999547E-5</v>
      </c>
      <c r="M290" s="8">
        <f t="shared" si="26"/>
        <v>385</v>
      </c>
      <c r="N290" s="9" t="s">
        <v>63</v>
      </c>
      <c r="O290" s="9" t="s">
        <v>16</v>
      </c>
      <c r="P290" s="9">
        <v>1071</v>
      </c>
      <c r="Q290" s="9">
        <v>425</v>
      </c>
      <c r="R290" s="8" t="s">
        <v>17</v>
      </c>
      <c r="S290" s="11">
        <v>204</v>
      </c>
      <c r="T290" s="10">
        <v>0.27</v>
      </c>
    </row>
    <row r="291" spans="1:20" x14ac:dyDescent="0.3">
      <c r="A291" s="7">
        <f t="shared" si="27"/>
        <v>286</v>
      </c>
      <c r="B291" s="8">
        <v>387</v>
      </c>
      <c r="C291" s="9" t="str">
        <f t="shared" si="25"/>
        <v>3860x85185fe3A4e36079818Ba1d12705A9B6898997040xa60AdD2af71a4f50b3F94509E71a1e9DbDeA5dDa1798179unidade2140027</v>
      </c>
      <c r="D291" s="13" t="s">
        <v>353</v>
      </c>
      <c r="E291" s="8" t="s">
        <v>1238</v>
      </c>
      <c r="F291" s="8">
        <f t="shared" si="23"/>
        <v>0</v>
      </c>
      <c r="G291" s="8">
        <f t="shared" si="23"/>
        <v>0</v>
      </c>
      <c r="H291" s="8">
        <f t="shared" si="23"/>
        <v>1</v>
      </c>
      <c r="I291" s="8">
        <f t="shared" si="23"/>
        <v>1</v>
      </c>
      <c r="J291" s="8">
        <f t="shared" si="24"/>
        <v>1</v>
      </c>
      <c r="K291" s="15">
        <v>1.0416666918899864E-4</v>
      </c>
      <c r="M291" s="8">
        <f t="shared" si="26"/>
        <v>386</v>
      </c>
      <c r="N291" s="9" t="s">
        <v>63</v>
      </c>
      <c r="O291" s="9" t="s">
        <v>16</v>
      </c>
      <c r="P291" s="9">
        <v>1798</v>
      </c>
      <c r="Q291" s="9">
        <v>179</v>
      </c>
      <c r="R291" s="8" t="s">
        <v>17</v>
      </c>
      <c r="S291" s="11">
        <v>214</v>
      </c>
      <c r="T291" s="10">
        <v>0.27</v>
      </c>
    </row>
    <row r="292" spans="1:20" x14ac:dyDescent="0.3">
      <c r="A292" s="7">
        <f t="shared" si="27"/>
        <v>287</v>
      </c>
      <c r="B292" s="8">
        <v>412</v>
      </c>
      <c r="C292" s="9" t="str">
        <f t="shared" si="25"/>
        <v>3870x85185fe3A4e36079818Ba1d12705A9B6898997040xa60AdD2af71a4f50b3F94509E71a1e9DbDeA5dDa1071129unidade1270027</v>
      </c>
      <c r="D292" s="13" t="s">
        <v>354</v>
      </c>
      <c r="E292" s="8" t="s">
        <v>1239</v>
      </c>
      <c r="F292" s="8">
        <f t="shared" si="23"/>
        <v>0</v>
      </c>
      <c r="G292" s="8">
        <f t="shared" si="23"/>
        <v>0</v>
      </c>
      <c r="H292" s="8">
        <f t="shared" si="23"/>
        <v>1</v>
      </c>
      <c r="I292" s="8">
        <f t="shared" si="23"/>
        <v>1</v>
      </c>
      <c r="J292" s="8">
        <f t="shared" si="24"/>
        <v>1</v>
      </c>
      <c r="K292" s="15">
        <v>1.0416666918899864E-4</v>
      </c>
      <c r="M292" s="8">
        <f t="shared" si="26"/>
        <v>387</v>
      </c>
      <c r="N292" s="9" t="s">
        <v>63</v>
      </c>
      <c r="O292" s="9" t="s">
        <v>16</v>
      </c>
      <c r="P292" s="9">
        <v>1071</v>
      </c>
      <c r="Q292" s="9">
        <v>129</v>
      </c>
      <c r="R292" s="8" t="s">
        <v>17</v>
      </c>
      <c r="S292" s="11">
        <v>127</v>
      </c>
      <c r="T292" s="10">
        <v>0.27</v>
      </c>
    </row>
    <row r="293" spans="1:20" x14ac:dyDescent="0.3">
      <c r="A293" s="7">
        <f t="shared" si="27"/>
        <v>288</v>
      </c>
      <c r="B293" s="8">
        <v>166</v>
      </c>
      <c r="C293" s="9" t="str">
        <f t="shared" si="25"/>
        <v>3880x85185fe3A4e36079818Ba1d12705A9B6898997040xa60AdD2af71a4f50b3F94509E71a1e9DbDeA5dDa1758211unidade2130027</v>
      </c>
      <c r="D293" s="13" t="s">
        <v>355</v>
      </c>
      <c r="E293" s="8" t="s">
        <v>1240</v>
      </c>
      <c r="F293" s="8">
        <f t="shared" si="23"/>
        <v>0</v>
      </c>
      <c r="G293" s="8">
        <f t="shared" si="23"/>
        <v>0</v>
      </c>
      <c r="H293" s="8">
        <f t="shared" si="23"/>
        <v>3</v>
      </c>
      <c r="I293" s="8">
        <f t="shared" si="23"/>
        <v>2</v>
      </c>
      <c r="J293" s="8">
        <f t="shared" si="24"/>
        <v>3</v>
      </c>
      <c r="K293" s="15">
        <v>4.6296292566694319E-5</v>
      </c>
      <c r="M293" s="8">
        <f t="shared" si="26"/>
        <v>388</v>
      </c>
      <c r="N293" s="9" t="s">
        <v>63</v>
      </c>
      <c r="O293" s="9" t="s">
        <v>16</v>
      </c>
      <c r="P293" s="9">
        <v>1758</v>
      </c>
      <c r="Q293" s="9">
        <v>211</v>
      </c>
      <c r="R293" s="8" t="s">
        <v>17</v>
      </c>
      <c r="S293" s="11">
        <v>213</v>
      </c>
      <c r="T293" s="10">
        <v>0.27</v>
      </c>
    </row>
    <row r="294" spans="1:20" x14ac:dyDescent="0.3">
      <c r="A294" s="7">
        <f t="shared" si="27"/>
        <v>289</v>
      </c>
      <c r="B294" s="8">
        <v>168</v>
      </c>
      <c r="C294" s="9" t="str">
        <f t="shared" si="25"/>
        <v>3890x85185fe3A4e36079818Ba1d12705A9B6898997040xa60AdD2af71a4f50b3F94509E71a1e9DbDeA5dDa1054485unidade2210027</v>
      </c>
      <c r="D294" s="13" t="s">
        <v>356</v>
      </c>
      <c r="E294" s="8" t="s">
        <v>1241</v>
      </c>
      <c r="F294" s="8">
        <f t="shared" si="23"/>
        <v>0</v>
      </c>
      <c r="G294" s="8">
        <f t="shared" si="23"/>
        <v>0</v>
      </c>
      <c r="H294" s="8">
        <f t="shared" si="23"/>
        <v>1</v>
      </c>
      <c r="I294" s="8">
        <f t="shared" si="23"/>
        <v>7</v>
      </c>
      <c r="J294" s="8">
        <f t="shared" si="24"/>
        <v>1</v>
      </c>
      <c r="K294" s="15">
        <v>4.6296299842651933E-5</v>
      </c>
      <c r="M294" s="8">
        <f t="shared" si="26"/>
        <v>389</v>
      </c>
      <c r="N294" s="9" t="s">
        <v>63</v>
      </c>
      <c r="O294" s="9" t="s">
        <v>16</v>
      </c>
      <c r="P294" s="9">
        <v>1054</v>
      </c>
      <c r="Q294" s="9">
        <v>485</v>
      </c>
      <c r="R294" s="8" t="s">
        <v>17</v>
      </c>
      <c r="S294" s="11">
        <v>221</v>
      </c>
      <c r="T294" s="10">
        <v>0.27</v>
      </c>
    </row>
    <row r="295" spans="1:20" x14ac:dyDescent="0.3">
      <c r="A295" s="7">
        <f t="shared" si="27"/>
        <v>290</v>
      </c>
      <c r="B295" s="8">
        <v>40</v>
      </c>
      <c r="C295" s="9" t="str">
        <f t="shared" si="25"/>
        <v>3900x85185fe3A4e36079818Ba1d12705A9B6898997040xa60AdD2af71a4f50b3F94509E71a1e9DbDeA5dDa1954253unidade1340027</v>
      </c>
      <c r="D295" s="13" t="s">
        <v>357</v>
      </c>
      <c r="E295" s="8" t="s">
        <v>1242</v>
      </c>
      <c r="F295" s="8">
        <f t="shared" si="23"/>
        <v>0</v>
      </c>
      <c r="G295" s="8">
        <f t="shared" si="23"/>
        <v>0</v>
      </c>
      <c r="H295" s="8">
        <f t="shared" si="23"/>
        <v>3</v>
      </c>
      <c r="I295" s="8">
        <f t="shared" si="23"/>
        <v>4</v>
      </c>
      <c r="J295" s="8">
        <f t="shared" si="24"/>
        <v>3</v>
      </c>
      <c r="K295" s="15">
        <v>1.1574069503694773E-5</v>
      </c>
      <c r="M295" s="8">
        <f t="shared" si="26"/>
        <v>390</v>
      </c>
      <c r="N295" s="9" t="s">
        <v>63</v>
      </c>
      <c r="O295" s="9" t="s">
        <v>16</v>
      </c>
      <c r="P295" s="9">
        <v>1954</v>
      </c>
      <c r="Q295" s="9">
        <v>253</v>
      </c>
      <c r="R295" s="8" t="s">
        <v>17</v>
      </c>
      <c r="S295" s="11">
        <v>134</v>
      </c>
      <c r="T295" s="10">
        <v>0.27</v>
      </c>
    </row>
    <row r="296" spans="1:20" x14ac:dyDescent="0.3">
      <c r="A296" s="7">
        <f t="shared" si="27"/>
        <v>291</v>
      </c>
      <c r="B296" s="8">
        <v>233</v>
      </c>
      <c r="C296" s="9" t="str">
        <f t="shared" si="25"/>
        <v>3910x85185fe3A4e36079818Ba1d12705A9B6898997040xa60AdD2af71a4f50b3F94509E71a1e9DbDeA5dDa1277112unidade660027</v>
      </c>
      <c r="D296" s="13" t="s">
        <v>358</v>
      </c>
      <c r="E296" s="8" t="s">
        <v>1243</v>
      </c>
      <c r="F296" s="8">
        <f t="shared" si="23"/>
        <v>0</v>
      </c>
      <c r="G296" s="8">
        <f t="shared" si="23"/>
        <v>0</v>
      </c>
      <c r="H296" s="8">
        <f t="shared" si="23"/>
        <v>7</v>
      </c>
      <c r="I296" s="8">
        <f t="shared" si="23"/>
        <v>1</v>
      </c>
      <c r="J296" s="8">
        <f t="shared" si="24"/>
        <v>7</v>
      </c>
      <c r="K296" s="15">
        <v>5.7870369346346706E-5</v>
      </c>
      <c r="M296" s="8">
        <f t="shared" si="26"/>
        <v>391</v>
      </c>
      <c r="N296" s="9" t="s">
        <v>63</v>
      </c>
      <c r="O296" s="9" t="s">
        <v>16</v>
      </c>
      <c r="P296" s="9">
        <v>1277</v>
      </c>
      <c r="Q296" s="9">
        <v>112</v>
      </c>
      <c r="R296" s="8" t="s">
        <v>17</v>
      </c>
      <c r="S296" s="11">
        <v>66</v>
      </c>
      <c r="T296" s="10">
        <v>0.27</v>
      </c>
    </row>
    <row r="297" spans="1:20" x14ac:dyDescent="0.3">
      <c r="A297" s="7">
        <f t="shared" si="27"/>
        <v>292</v>
      </c>
      <c r="B297" s="8">
        <v>73</v>
      </c>
      <c r="C297" s="9" t="str">
        <f t="shared" si="25"/>
        <v>3920x85185fe3A4e36079818Ba1d12705A9B6898997040xa60AdD2af71a4f50b3F94509E71a1e9DbDeA5dDa1223297unidade990027</v>
      </c>
      <c r="D297" s="13" t="s">
        <v>359</v>
      </c>
      <c r="E297" s="8" t="s">
        <v>1244</v>
      </c>
      <c r="F297" s="8">
        <f t="shared" si="23"/>
        <v>0</v>
      </c>
      <c r="G297" s="8">
        <f t="shared" si="23"/>
        <v>0</v>
      </c>
      <c r="H297" s="8">
        <f t="shared" si="23"/>
        <v>1</v>
      </c>
      <c r="I297" s="8">
        <f t="shared" ref="F297:L360" si="28">IFERROR(VALUE(MID($E297,I$1,1)),1)</f>
        <v>1</v>
      </c>
      <c r="J297" s="8">
        <f t="shared" si="24"/>
        <v>1</v>
      </c>
      <c r="K297" s="15">
        <v>2.3148153559304774E-5</v>
      </c>
      <c r="M297" s="8">
        <f t="shared" si="26"/>
        <v>392</v>
      </c>
      <c r="N297" s="9" t="s">
        <v>63</v>
      </c>
      <c r="O297" s="9" t="s">
        <v>16</v>
      </c>
      <c r="P297" s="9">
        <v>1223</v>
      </c>
      <c r="Q297" s="9">
        <v>297</v>
      </c>
      <c r="R297" s="8" t="s">
        <v>17</v>
      </c>
      <c r="S297" s="11">
        <v>99</v>
      </c>
      <c r="T297" s="10">
        <v>0.27</v>
      </c>
    </row>
    <row r="298" spans="1:20" x14ac:dyDescent="0.3">
      <c r="A298" s="7">
        <f t="shared" si="27"/>
        <v>293</v>
      </c>
      <c r="B298" s="8">
        <v>9</v>
      </c>
      <c r="C298" s="9" t="str">
        <f t="shared" si="25"/>
        <v>3930x85185fe3A4e36079818Ba1d12705A9B6898997040xa60AdD2af71a4f50b3F94509E71a1e9DbDeA5dDa1491421unidade1180027</v>
      </c>
      <c r="D298" s="13" t="s">
        <v>360</v>
      </c>
      <c r="E298" s="8" t="s">
        <v>1245</v>
      </c>
      <c r="F298" s="8">
        <f t="shared" si="28"/>
        <v>0</v>
      </c>
      <c r="G298" s="8">
        <f t="shared" si="28"/>
        <v>0</v>
      </c>
      <c r="H298" s="8">
        <f t="shared" si="28"/>
        <v>1</v>
      </c>
      <c r="I298" s="8">
        <f t="shared" si="28"/>
        <v>1</v>
      </c>
      <c r="J298" s="8">
        <f t="shared" ref="J298:J361" si="29">SUM(F298:H298)</f>
        <v>1</v>
      </c>
      <c r="K298" s="15">
        <v>0</v>
      </c>
      <c r="M298" s="8">
        <f t="shared" si="26"/>
        <v>393</v>
      </c>
      <c r="N298" s="9" t="s">
        <v>63</v>
      </c>
      <c r="O298" s="9" t="s">
        <v>16</v>
      </c>
      <c r="P298" s="9">
        <v>1491</v>
      </c>
      <c r="Q298" s="9">
        <v>421</v>
      </c>
      <c r="R298" s="8" t="s">
        <v>17</v>
      </c>
      <c r="S298" s="11">
        <v>118</v>
      </c>
      <c r="T298" s="10">
        <v>0.27</v>
      </c>
    </row>
    <row r="299" spans="1:20" x14ac:dyDescent="0.3">
      <c r="A299" s="7">
        <f t="shared" si="27"/>
        <v>294</v>
      </c>
      <c r="B299" s="8">
        <v>38</v>
      </c>
      <c r="C299" s="9" t="str">
        <f t="shared" si="25"/>
        <v>3940x85185fe3A4e36079818Ba1d12705A9B6898997040xa60AdD2af71a4f50b3F94509E71a1e9DbDeA5dDa1568304unidade2230027</v>
      </c>
      <c r="D299" s="13" t="s">
        <v>361</v>
      </c>
      <c r="E299" s="8" t="s">
        <v>761</v>
      </c>
      <c r="F299" s="8">
        <f t="shared" si="28"/>
        <v>0</v>
      </c>
      <c r="G299" s="8">
        <f t="shared" si="28"/>
        <v>0</v>
      </c>
      <c r="H299" s="8">
        <f t="shared" si="28"/>
        <v>0</v>
      </c>
      <c r="I299" s="8">
        <f t="shared" si="28"/>
        <v>0</v>
      </c>
      <c r="J299" s="8">
        <f t="shared" si="29"/>
        <v>0</v>
      </c>
      <c r="K299" s="15">
        <v>1.1574069503694773E-5</v>
      </c>
      <c r="M299" s="8">
        <f t="shared" si="26"/>
        <v>394</v>
      </c>
      <c r="N299" s="9" t="s">
        <v>63</v>
      </c>
      <c r="O299" s="9" t="s">
        <v>16</v>
      </c>
      <c r="P299" s="9">
        <v>1568</v>
      </c>
      <c r="Q299" s="9">
        <v>304</v>
      </c>
      <c r="R299" s="8" t="s">
        <v>17</v>
      </c>
      <c r="S299" s="11">
        <v>223</v>
      </c>
      <c r="T299" s="10">
        <v>0.27</v>
      </c>
    </row>
    <row r="300" spans="1:20" x14ac:dyDescent="0.3">
      <c r="A300" s="7">
        <f t="shared" si="27"/>
        <v>295</v>
      </c>
      <c r="B300" s="8">
        <v>155</v>
      </c>
      <c r="C300" s="9" t="str">
        <f t="shared" si="25"/>
        <v>3950x85185fe3A4e36079818Ba1d12705A9B6898997040xa60AdD2af71a4f50b3F94509E71a1e9DbDeA5dDa1297425unidade1120027</v>
      </c>
      <c r="D300" s="13" t="s">
        <v>362</v>
      </c>
      <c r="E300" s="8" t="s">
        <v>1246</v>
      </c>
      <c r="F300" s="8">
        <f t="shared" si="28"/>
        <v>0</v>
      </c>
      <c r="G300" s="8">
        <f t="shared" si="28"/>
        <v>0</v>
      </c>
      <c r="H300" s="8">
        <f t="shared" si="28"/>
        <v>6</v>
      </c>
      <c r="I300" s="8">
        <f t="shared" si="28"/>
        <v>9</v>
      </c>
      <c r="J300" s="8">
        <f t="shared" si="29"/>
        <v>6</v>
      </c>
      <c r="K300" s="15">
        <v>3.4722223062999547E-5</v>
      </c>
      <c r="M300" s="8">
        <f t="shared" si="26"/>
        <v>395</v>
      </c>
      <c r="N300" s="9" t="s">
        <v>63</v>
      </c>
      <c r="O300" s="9" t="s">
        <v>16</v>
      </c>
      <c r="P300" s="9">
        <v>1297</v>
      </c>
      <c r="Q300" s="9">
        <v>425</v>
      </c>
      <c r="R300" s="8" t="s">
        <v>17</v>
      </c>
      <c r="S300" s="11">
        <v>112</v>
      </c>
      <c r="T300" s="10">
        <v>0.27</v>
      </c>
    </row>
    <row r="301" spans="1:20" x14ac:dyDescent="0.3">
      <c r="A301" s="7">
        <f t="shared" si="27"/>
        <v>296</v>
      </c>
      <c r="B301" s="8">
        <v>534</v>
      </c>
      <c r="C301" s="9" t="str">
        <f t="shared" si="25"/>
        <v>3960x85185fe3A4e36079818Ba1d12705A9B6898997040xa60AdD2af71a4f50b3F94509E71a1e9DbDeA5dDa1901401unidade680027</v>
      </c>
      <c r="D301" s="13" t="s">
        <v>363</v>
      </c>
      <c r="E301" s="8" t="s">
        <v>1247</v>
      </c>
      <c r="F301" s="8">
        <f t="shared" si="28"/>
        <v>0</v>
      </c>
      <c r="G301" s="8">
        <f t="shared" si="28"/>
        <v>0</v>
      </c>
      <c r="H301" s="8">
        <f t="shared" si="28"/>
        <v>4</v>
      </c>
      <c r="I301" s="8">
        <f t="shared" si="28"/>
        <v>0</v>
      </c>
      <c r="J301" s="8">
        <f t="shared" si="29"/>
        <v>4</v>
      </c>
      <c r="K301" s="15">
        <v>1.273148154723458E-4</v>
      </c>
      <c r="M301" s="8">
        <f t="shared" si="26"/>
        <v>396</v>
      </c>
      <c r="N301" s="9" t="s">
        <v>63</v>
      </c>
      <c r="O301" s="9" t="s">
        <v>16</v>
      </c>
      <c r="P301" s="9">
        <v>1901</v>
      </c>
      <c r="Q301" s="9">
        <v>401</v>
      </c>
      <c r="R301" s="8" t="s">
        <v>17</v>
      </c>
      <c r="S301" s="11">
        <v>68</v>
      </c>
      <c r="T301" s="10">
        <v>0.27</v>
      </c>
    </row>
    <row r="302" spans="1:20" x14ac:dyDescent="0.3">
      <c r="A302" s="7">
        <f t="shared" si="27"/>
        <v>297</v>
      </c>
      <c r="B302" s="8">
        <v>155</v>
      </c>
      <c r="C302" s="9" t="str">
        <f t="shared" si="25"/>
        <v>3970x85185fe3A4e36079818Ba1d12705A9B6898997040xa60AdD2af71a4f50b3F94509E71a1e9DbDeA5dDa1697455unidade2090027</v>
      </c>
      <c r="D302" s="13" t="s">
        <v>364</v>
      </c>
      <c r="E302" s="8" t="s">
        <v>1248</v>
      </c>
      <c r="F302" s="8">
        <f t="shared" si="28"/>
        <v>0</v>
      </c>
      <c r="G302" s="8">
        <f t="shared" si="28"/>
        <v>0</v>
      </c>
      <c r="H302" s="8">
        <f t="shared" si="28"/>
        <v>1</v>
      </c>
      <c r="I302" s="8">
        <f t="shared" si="28"/>
        <v>9</v>
      </c>
      <c r="J302" s="8">
        <f t="shared" si="29"/>
        <v>1</v>
      </c>
      <c r="K302" s="15">
        <v>3.4722223062999547E-5</v>
      </c>
      <c r="M302" s="8">
        <f t="shared" si="26"/>
        <v>397</v>
      </c>
      <c r="N302" s="9" t="s">
        <v>63</v>
      </c>
      <c r="O302" s="9" t="s">
        <v>16</v>
      </c>
      <c r="P302" s="9">
        <v>1697</v>
      </c>
      <c r="Q302" s="9">
        <v>455</v>
      </c>
      <c r="R302" s="8" t="s">
        <v>17</v>
      </c>
      <c r="S302" s="11">
        <v>209</v>
      </c>
      <c r="T302" s="10">
        <v>0.27</v>
      </c>
    </row>
    <row r="303" spans="1:20" x14ac:dyDescent="0.3">
      <c r="A303" s="7">
        <f t="shared" si="27"/>
        <v>298</v>
      </c>
      <c r="B303" s="8">
        <v>103</v>
      </c>
      <c r="C303" s="9" t="str">
        <f t="shared" si="25"/>
        <v>3980x85185fe3A4e36079818Ba1d12705A9B6898997040xa60AdD2af71a4f50b3F94509E71a1e9DbDeA5dDa1492466unidade1730027</v>
      </c>
      <c r="D303" s="13" t="s">
        <v>365</v>
      </c>
      <c r="E303" s="8" t="s">
        <v>1249</v>
      </c>
      <c r="F303" s="8">
        <f t="shared" si="28"/>
        <v>0</v>
      </c>
      <c r="G303" s="8">
        <f t="shared" si="28"/>
        <v>0</v>
      </c>
      <c r="H303" s="8">
        <f t="shared" si="28"/>
        <v>1</v>
      </c>
      <c r="I303" s="8">
        <f t="shared" si="28"/>
        <v>7</v>
      </c>
      <c r="J303" s="8">
        <f t="shared" si="29"/>
        <v>1</v>
      </c>
      <c r="K303" s="15">
        <v>2.314814628334716E-5</v>
      </c>
      <c r="M303" s="8">
        <f t="shared" si="26"/>
        <v>398</v>
      </c>
      <c r="N303" s="9" t="s">
        <v>63</v>
      </c>
      <c r="O303" s="9" t="s">
        <v>16</v>
      </c>
      <c r="P303" s="9">
        <v>1492</v>
      </c>
      <c r="Q303" s="9">
        <v>466</v>
      </c>
      <c r="R303" s="8" t="s">
        <v>17</v>
      </c>
      <c r="S303" s="11">
        <v>173</v>
      </c>
      <c r="T303" s="10">
        <v>0.27</v>
      </c>
    </row>
    <row r="304" spans="1:20" x14ac:dyDescent="0.3">
      <c r="A304" s="7">
        <f t="shared" si="27"/>
        <v>299</v>
      </c>
      <c r="B304" s="8">
        <v>137</v>
      </c>
      <c r="C304" s="9" t="str">
        <f t="shared" si="25"/>
        <v>3990x85185fe3A4e36079818Ba1d12705A9B6898997040xa60AdD2af71a4f50b3F94509E71a1e9DbDeA5dDa1261232unidade2210027</v>
      </c>
      <c r="D304" s="13" t="s">
        <v>366</v>
      </c>
      <c r="E304" s="8" t="s">
        <v>1250</v>
      </c>
      <c r="F304" s="8">
        <f t="shared" si="28"/>
        <v>0</v>
      </c>
      <c r="G304" s="8">
        <f t="shared" si="28"/>
        <v>0</v>
      </c>
      <c r="H304" s="8">
        <f t="shared" si="28"/>
        <v>2</v>
      </c>
      <c r="I304" s="8">
        <f t="shared" si="28"/>
        <v>2</v>
      </c>
      <c r="J304" s="8">
        <f t="shared" si="29"/>
        <v>2</v>
      </c>
      <c r="K304" s="15">
        <v>3.4722223062999547E-5</v>
      </c>
      <c r="M304" s="8">
        <f t="shared" si="26"/>
        <v>399</v>
      </c>
      <c r="N304" s="9" t="s">
        <v>63</v>
      </c>
      <c r="O304" s="9" t="s">
        <v>16</v>
      </c>
      <c r="P304" s="9">
        <v>1261</v>
      </c>
      <c r="Q304" s="9">
        <v>232</v>
      </c>
      <c r="R304" s="8" t="s">
        <v>17</v>
      </c>
      <c r="S304" s="11">
        <v>221</v>
      </c>
      <c r="T304" s="10">
        <v>0.27</v>
      </c>
    </row>
    <row r="305" spans="1:20" x14ac:dyDescent="0.3">
      <c r="A305" s="7">
        <f t="shared" si="27"/>
        <v>300</v>
      </c>
      <c r="B305" s="8">
        <v>496</v>
      </c>
      <c r="C305" s="9" t="str">
        <f t="shared" si="25"/>
        <v>4000x85185fe3A4e36079818Ba1d12705A9B6898997040xa60AdD2af71a4f50b3F94509E71a1e9DbDeA5dDa1943467unidade1160027</v>
      </c>
      <c r="D305" s="13" t="s">
        <v>367</v>
      </c>
      <c r="E305" s="8" t="s">
        <v>1251</v>
      </c>
      <c r="F305" s="8">
        <f t="shared" si="28"/>
        <v>0</v>
      </c>
      <c r="G305" s="8">
        <f t="shared" si="28"/>
        <v>0</v>
      </c>
      <c r="H305" s="8">
        <f t="shared" si="28"/>
        <v>3</v>
      </c>
      <c r="I305" s="8">
        <f t="shared" si="28"/>
        <v>5</v>
      </c>
      <c r="J305" s="8">
        <f t="shared" si="29"/>
        <v>3</v>
      </c>
      <c r="K305" s="15">
        <v>1.1574073869269341E-4</v>
      </c>
      <c r="M305" s="8">
        <f t="shared" si="26"/>
        <v>400</v>
      </c>
      <c r="N305" s="9" t="s">
        <v>63</v>
      </c>
      <c r="O305" s="9" t="s">
        <v>16</v>
      </c>
      <c r="P305" s="9">
        <v>1943</v>
      </c>
      <c r="Q305" s="9">
        <v>467</v>
      </c>
      <c r="R305" s="8" t="s">
        <v>17</v>
      </c>
      <c r="S305" s="11">
        <v>116</v>
      </c>
      <c r="T305" s="10">
        <v>0.27</v>
      </c>
    </row>
    <row r="306" spans="1:20" x14ac:dyDescent="0.3">
      <c r="A306" s="7">
        <f t="shared" si="27"/>
        <v>301</v>
      </c>
      <c r="B306" s="8">
        <v>335</v>
      </c>
      <c r="C306" s="9" t="str">
        <f t="shared" si="25"/>
        <v>4010x85185fe3A4e36079818Ba1d12705A9B6898997040xa60AdD2af71a4f50b3F94509E71a1e9DbDeA5dDa1766163unidade780027</v>
      </c>
      <c r="D306" s="13" t="s">
        <v>368</v>
      </c>
      <c r="E306" s="8" t="s">
        <v>1252</v>
      </c>
      <c r="F306" s="8">
        <f t="shared" si="28"/>
        <v>0</v>
      </c>
      <c r="G306" s="8">
        <f t="shared" si="28"/>
        <v>0</v>
      </c>
      <c r="H306" s="8">
        <f t="shared" si="28"/>
        <v>1</v>
      </c>
      <c r="I306" s="8">
        <f t="shared" si="28"/>
        <v>1</v>
      </c>
      <c r="J306" s="8">
        <f t="shared" si="29"/>
        <v>1</v>
      </c>
      <c r="K306" s="15">
        <v>8.1018515629693866E-5</v>
      </c>
      <c r="M306" s="8">
        <f t="shared" si="26"/>
        <v>401</v>
      </c>
      <c r="N306" s="9" t="s">
        <v>63</v>
      </c>
      <c r="O306" s="9" t="s">
        <v>16</v>
      </c>
      <c r="P306" s="9">
        <v>1766</v>
      </c>
      <c r="Q306" s="9">
        <v>163</v>
      </c>
      <c r="R306" s="8" t="s">
        <v>17</v>
      </c>
      <c r="S306" s="11">
        <v>78</v>
      </c>
      <c r="T306" s="10">
        <v>0.27</v>
      </c>
    </row>
    <row r="307" spans="1:20" x14ac:dyDescent="0.3">
      <c r="A307" s="7">
        <f t="shared" si="27"/>
        <v>302</v>
      </c>
      <c r="B307" s="8">
        <v>393</v>
      </c>
      <c r="C307" s="9" t="str">
        <f t="shared" si="25"/>
        <v>4020x85185fe3A4e36079818Ba1d12705A9B6898997040xa60AdD2af71a4f50b3F94509E71a1e9DbDeA5dDa1777259unidade1090027</v>
      </c>
      <c r="D307" s="13" t="s">
        <v>369</v>
      </c>
      <c r="E307" s="8" t="s">
        <v>1253</v>
      </c>
      <c r="F307" s="8">
        <f t="shared" si="28"/>
        <v>0</v>
      </c>
      <c r="G307" s="8">
        <f t="shared" si="28"/>
        <v>0</v>
      </c>
      <c r="H307" s="8">
        <f t="shared" si="28"/>
        <v>1</v>
      </c>
      <c r="I307" s="8">
        <f t="shared" si="28"/>
        <v>1</v>
      </c>
      <c r="J307" s="8">
        <f t="shared" si="29"/>
        <v>1</v>
      </c>
      <c r="K307" s="15">
        <v>1.0416666918899864E-4</v>
      </c>
      <c r="M307" s="8">
        <f t="shared" si="26"/>
        <v>402</v>
      </c>
      <c r="N307" s="9" t="s">
        <v>63</v>
      </c>
      <c r="O307" s="9" t="s">
        <v>16</v>
      </c>
      <c r="P307" s="9">
        <v>1777</v>
      </c>
      <c r="Q307" s="9">
        <v>259</v>
      </c>
      <c r="R307" s="8" t="s">
        <v>17</v>
      </c>
      <c r="S307" s="11">
        <v>109</v>
      </c>
      <c r="T307" s="10">
        <v>0.27</v>
      </c>
    </row>
    <row r="308" spans="1:20" x14ac:dyDescent="0.3">
      <c r="A308" s="7">
        <f t="shared" si="27"/>
        <v>303</v>
      </c>
      <c r="B308" s="8">
        <v>112</v>
      </c>
      <c r="C308" s="9" t="str">
        <f t="shared" si="25"/>
        <v>4030x85185fe3A4e36079818Ba1d12705A9B6898997040xa60AdD2af71a4f50b3F94509E71a1e9DbDeA5dDa1762329unidade1250027</v>
      </c>
      <c r="D308" s="13" t="s">
        <v>370</v>
      </c>
      <c r="E308" s="8" t="s">
        <v>1254</v>
      </c>
      <c r="F308" s="8">
        <f t="shared" si="28"/>
        <v>0</v>
      </c>
      <c r="G308" s="8">
        <f t="shared" si="28"/>
        <v>0</v>
      </c>
      <c r="H308" s="8">
        <f t="shared" si="28"/>
        <v>1</v>
      </c>
      <c r="I308" s="8">
        <f t="shared" si="28"/>
        <v>1</v>
      </c>
      <c r="J308" s="8">
        <f t="shared" si="29"/>
        <v>1</v>
      </c>
      <c r="K308" s="15">
        <v>2.314814628334716E-5</v>
      </c>
      <c r="M308" s="8">
        <f t="shared" si="26"/>
        <v>403</v>
      </c>
      <c r="N308" s="9" t="s">
        <v>63</v>
      </c>
      <c r="O308" s="9" t="s">
        <v>16</v>
      </c>
      <c r="P308" s="9">
        <v>1762</v>
      </c>
      <c r="Q308" s="9">
        <v>329</v>
      </c>
      <c r="R308" s="8" t="s">
        <v>17</v>
      </c>
      <c r="S308" s="11">
        <v>125</v>
      </c>
      <c r="T308" s="10">
        <v>0.27</v>
      </c>
    </row>
    <row r="309" spans="1:20" x14ac:dyDescent="0.3">
      <c r="A309" s="7">
        <f t="shared" si="27"/>
        <v>304</v>
      </c>
      <c r="B309" s="8">
        <v>161</v>
      </c>
      <c r="C309" s="9" t="str">
        <f t="shared" si="25"/>
        <v>4040x85185fe3A4e36079818Ba1d12705A9B6898997040xa60AdD2af71a4f50b3F94509E71a1e9DbDeA5dDa1632243unidade1730027</v>
      </c>
      <c r="D309" s="13" t="s">
        <v>371</v>
      </c>
      <c r="E309" s="8" t="s">
        <v>1255</v>
      </c>
      <c r="F309" s="8">
        <f t="shared" si="28"/>
        <v>0</v>
      </c>
      <c r="G309" s="8">
        <f t="shared" si="28"/>
        <v>0</v>
      </c>
      <c r="H309" s="8">
        <f t="shared" si="28"/>
        <v>1</v>
      </c>
      <c r="I309" s="8">
        <f t="shared" si="28"/>
        <v>1</v>
      </c>
      <c r="J309" s="8">
        <f t="shared" si="29"/>
        <v>1</v>
      </c>
      <c r="K309" s="15">
        <v>4.6296299842651933E-5</v>
      </c>
      <c r="M309" s="8">
        <f t="shared" si="26"/>
        <v>404</v>
      </c>
      <c r="N309" s="9" t="s">
        <v>63</v>
      </c>
      <c r="O309" s="9" t="s">
        <v>16</v>
      </c>
      <c r="P309" s="9">
        <v>1632</v>
      </c>
      <c r="Q309" s="9">
        <v>243</v>
      </c>
      <c r="R309" s="8" t="s">
        <v>17</v>
      </c>
      <c r="S309" s="11">
        <v>173</v>
      </c>
      <c r="T309" s="10">
        <v>0.27</v>
      </c>
    </row>
    <row r="310" spans="1:20" x14ac:dyDescent="0.3">
      <c r="A310" s="7">
        <f t="shared" si="27"/>
        <v>305</v>
      </c>
      <c r="B310" s="8">
        <v>73</v>
      </c>
      <c r="C310" s="9" t="str">
        <f t="shared" si="25"/>
        <v>4050x85185fe3A4e36079818Ba1d12705A9B6898997040xa60AdD2af71a4f50b3F94509E71a1e9DbDeA5dDa1828493unidade1130027</v>
      </c>
      <c r="D310" s="13" t="s">
        <v>372</v>
      </c>
      <c r="E310" s="8" t="s">
        <v>1256</v>
      </c>
      <c r="F310" s="8">
        <f t="shared" si="28"/>
        <v>0</v>
      </c>
      <c r="G310" s="8">
        <f t="shared" si="28"/>
        <v>0</v>
      </c>
      <c r="H310" s="8">
        <f t="shared" si="28"/>
        <v>3</v>
      </c>
      <c r="I310" s="8">
        <f t="shared" si="28"/>
        <v>5</v>
      </c>
      <c r="J310" s="8">
        <f t="shared" si="29"/>
        <v>3</v>
      </c>
      <c r="K310" s="15">
        <v>2.314814628334716E-5</v>
      </c>
      <c r="M310" s="8">
        <f t="shared" si="26"/>
        <v>405</v>
      </c>
      <c r="N310" s="9" t="s">
        <v>63</v>
      </c>
      <c r="O310" s="9" t="s">
        <v>16</v>
      </c>
      <c r="P310" s="9">
        <v>1828</v>
      </c>
      <c r="Q310" s="9">
        <v>493</v>
      </c>
      <c r="R310" s="8" t="s">
        <v>17</v>
      </c>
      <c r="S310" s="11">
        <v>113</v>
      </c>
      <c r="T310" s="10">
        <v>0.27</v>
      </c>
    </row>
    <row r="311" spans="1:20" x14ac:dyDescent="0.3">
      <c r="A311" s="7">
        <f t="shared" si="27"/>
        <v>306</v>
      </c>
      <c r="B311" s="8">
        <v>347</v>
      </c>
      <c r="C311" s="9" t="str">
        <f t="shared" si="25"/>
        <v>4060x85185fe3A4e36079818Ba1d12705A9B6898997040xa60AdD2af71a4f50b3F94509E71a1e9DbDeA5dDa1780322unidade540027</v>
      </c>
      <c r="D311" s="13" t="s">
        <v>373</v>
      </c>
      <c r="E311" s="8" t="s">
        <v>1257</v>
      </c>
      <c r="F311" s="8">
        <f t="shared" si="28"/>
        <v>0</v>
      </c>
      <c r="G311" s="8">
        <f t="shared" si="28"/>
        <v>0</v>
      </c>
      <c r="H311" s="8">
        <f t="shared" si="28"/>
        <v>1</v>
      </c>
      <c r="I311" s="8">
        <f t="shared" si="28"/>
        <v>5</v>
      </c>
      <c r="J311" s="8">
        <f t="shared" si="29"/>
        <v>1</v>
      </c>
      <c r="K311" s="15">
        <v>9.2592592409346253E-5</v>
      </c>
      <c r="M311" s="8">
        <f t="shared" si="26"/>
        <v>406</v>
      </c>
      <c r="N311" s="9" t="s">
        <v>63</v>
      </c>
      <c r="O311" s="9" t="s">
        <v>16</v>
      </c>
      <c r="P311" s="9">
        <v>1780</v>
      </c>
      <c r="Q311" s="9">
        <v>322</v>
      </c>
      <c r="R311" s="8" t="s">
        <v>17</v>
      </c>
      <c r="S311" s="11">
        <v>54</v>
      </c>
      <c r="T311" s="10">
        <v>0.27</v>
      </c>
    </row>
    <row r="312" spans="1:20" x14ac:dyDescent="0.3">
      <c r="A312" s="7">
        <f t="shared" si="27"/>
        <v>307</v>
      </c>
      <c r="B312" s="8">
        <v>119</v>
      </c>
      <c r="C312" s="9" t="str">
        <f t="shared" si="25"/>
        <v>4070x85185fe3A4e36079818Ba1d12705A9B6898997040xa60AdD2af71a4f50b3F94509E71a1e9DbDeA5dDa1812119unidade2490027</v>
      </c>
      <c r="D312" s="13" t="s">
        <v>374</v>
      </c>
      <c r="E312" s="8" t="s">
        <v>774</v>
      </c>
      <c r="F312" s="8">
        <f t="shared" si="28"/>
        <v>0</v>
      </c>
      <c r="G312" s="8">
        <f t="shared" si="28"/>
        <v>0</v>
      </c>
      <c r="H312" s="8">
        <f t="shared" si="28"/>
        <v>0</v>
      </c>
      <c r="I312" s="8">
        <f t="shared" si="28"/>
        <v>4</v>
      </c>
      <c r="J312" s="8">
        <f t="shared" si="29"/>
        <v>0</v>
      </c>
      <c r="K312" s="15">
        <v>3.4722223062999547E-5</v>
      </c>
      <c r="M312" s="8">
        <f t="shared" si="26"/>
        <v>407</v>
      </c>
      <c r="N312" s="9" t="s">
        <v>63</v>
      </c>
      <c r="O312" s="9" t="s">
        <v>16</v>
      </c>
      <c r="P312" s="9">
        <v>1812</v>
      </c>
      <c r="Q312" s="9">
        <v>119</v>
      </c>
      <c r="R312" s="8" t="s">
        <v>17</v>
      </c>
      <c r="S312" s="11">
        <v>249</v>
      </c>
      <c r="T312" s="10">
        <v>0.27</v>
      </c>
    </row>
    <row r="313" spans="1:20" x14ac:dyDescent="0.3">
      <c r="A313" s="7">
        <f t="shared" si="27"/>
        <v>308</v>
      </c>
      <c r="B313" s="8">
        <v>14</v>
      </c>
      <c r="C313" s="9" t="str">
        <f t="shared" si="25"/>
        <v>4080x85185fe3A4e36079818Ba1d12705A9B6898997040xa60AdD2af71a4f50b3F94509E71a1e9DbDeA5dDa1531363unidade1210027</v>
      </c>
      <c r="D313" s="13" t="s">
        <v>375</v>
      </c>
      <c r="E313" s="8" t="s">
        <v>1258</v>
      </c>
      <c r="F313" s="8">
        <f t="shared" si="28"/>
        <v>0</v>
      </c>
      <c r="G313" s="8">
        <f t="shared" si="28"/>
        <v>0</v>
      </c>
      <c r="H313" s="8">
        <f t="shared" si="28"/>
        <v>1</v>
      </c>
      <c r="I313" s="8">
        <f t="shared" si="28"/>
        <v>1</v>
      </c>
      <c r="J313" s="8">
        <f t="shared" si="29"/>
        <v>1</v>
      </c>
      <c r="K313" s="15">
        <v>0</v>
      </c>
      <c r="M313" s="8">
        <f t="shared" si="26"/>
        <v>408</v>
      </c>
      <c r="N313" s="9" t="s">
        <v>63</v>
      </c>
      <c r="O313" s="9" t="s">
        <v>16</v>
      </c>
      <c r="P313" s="9">
        <v>1531</v>
      </c>
      <c r="Q313" s="9">
        <v>363</v>
      </c>
      <c r="R313" s="8" t="s">
        <v>17</v>
      </c>
      <c r="S313" s="11">
        <v>121</v>
      </c>
      <c r="T313" s="10">
        <v>0.27</v>
      </c>
    </row>
    <row r="314" spans="1:20" x14ac:dyDescent="0.3">
      <c r="A314" s="7">
        <f t="shared" si="27"/>
        <v>309</v>
      </c>
      <c r="B314" s="8">
        <v>76</v>
      </c>
      <c r="C314" s="9" t="str">
        <f t="shared" si="25"/>
        <v>4090x85185fe3A4e36079818Ba1d12705A9B6898997040xa60AdD2af71a4f50b3F94509E71a1e9DbDeA5dDa1817400unidade1010027</v>
      </c>
      <c r="D314" s="13" t="s">
        <v>376</v>
      </c>
      <c r="E314" s="8" t="s">
        <v>1259</v>
      </c>
      <c r="F314" s="8">
        <f t="shared" si="28"/>
        <v>0</v>
      </c>
      <c r="G314" s="8">
        <f t="shared" si="28"/>
        <v>0</v>
      </c>
      <c r="H314" s="8">
        <f t="shared" si="28"/>
        <v>4</v>
      </c>
      <c r="I314" s="8">
        <f t="shared" si="28"/>
        <v>1</v>
      </c>
      <c r="J314" s="8">
        <f t="shared" si="29"/>
        <v>4</v>
      </c>
      <c r="K314" s="15">
        <v>2.314814628334716E-5</v>
      </c>
      <c r="M314" s="8">
        <f t="shared" si="26"/>
        <v>409</v>
      </c>
      <c r="N314" s="9" t="s">
        <v>63</v>
      </c>
      <c r="O314" s="9" t="s">
        <v>16</v>
      </c>
      <c r="P314" s="9">
        <v>1817</v>
      </c>
      <c r="Q314" s="9">
        <v>400</v>
      </c>
      <c r="R314" s="8" t="s">
        <v>17</v>
      </c>
      <c r="S314" s="11">
        <v>101</v>
      </c>
      <c r="T314" s="10">
        <v>0.27</v>
      </c>
    </row>
    <row r="315" spans="1:20" x14ac:dyDescent="0.3">
      <c r="A315" s="7">
        <f t="shared" si="27"/>
        <v>310</v>
      </c>
      <c r="B315" s="8">
        <v>255</v>
      </c>
      <c r="C315" s="9" t="str">
        <f t="shared" si="25"/>
        <v>4100x85185fe3A4e36079818Ba1d12705A9B6898997040xa60AdD2af71a4f50b3F94509E71a1e9DbDeA5dDa1631144unidade1540027</v>
      </c>
      <c r="D315" s="13" t="s">
        <v>377</v>
      </c>
      <c r="E315" s="8" t="s">
        <v>1260</v>
      </c>
      <c r="F315" s="8">
        <f t="shared" si="28"/>
        <v>0</v>
      </c>
      <c r="G315" s="8">
        <f t="shared" si="28"/>
        <v>0</v>
      </c>
      <c r="H315" s="8">
        <f t="shared" si="28"/>
        <v>5</v>
      </c>
      <c r="I315" s="8">
        <f t="shared" si="28"/>
        <v>7</v>
      </c>
      <c r="J315" s="8">
        <f t="shared" si="29"/>
        <v>5</v>
      </c>
      <c r="K315" s="15">
        <v>5.7870369346346706E-5</v>
      </c>
      <c r="M315" s="8">
        <f t="shared" si="26"/>
        <v>410</v>
      </c>
      <c r="N315" s="9" t="s">
        <v>63</v>
      </c>
      <c r="O315" s="9" t="s">
        <v>16</v>
      </c>
      <c r="P315" s="9">
        <v>1631</v>
      </c>
      <c r="Q315" s="9">
        <v>144</v>
      </c>
      <c r="R315" s="8" t="s">
        <v>17</v>
      </c>
      <c r="S315" s="11">
        <v>154</v>
      </c>
      <c r="T315" s="10">
        <v>0.27</v>
      </c>
    </row>
    <row r="316" spans="1:20" x14ac:dyDescent="0.3">
      <c r="A316" s="7">
        <f t="shared" si="27"/>
        <v>311</v>
      </c>
      <c r="B316" s="8">
        <v>199</v>
      </c>
      <c r="C316" s="9" t="str">
        <f t="shared" si="25"/>
        <v>4110x85185fe3A4e36079818Ba1d12705A9B6898997040xa60AdD2af71a4f50b3F94509E71a1e9DbDeA5dDa1361325unidade1880027</v>
      </c>
      <c r="D316" s="13" t="s">
        <v>378</v>
      </c>
      <c r="E316" s="8" t="s">
        <v>1261</v>
      </c>
      <c r="F316" s="8">
        <f t="shared" si="28"/>
        <v>0</v>
      </c>
      <c r="G316" s="8">
        <f t="shared" si="28"/>
        <v>0</v>
      </c>
      <c r="H316" s="8">
        <f t="shared" si="28"/>
        <v>5</v>
      </c>
      <c r="I316" s="8">
        <f t="shared" si="28"/>
        <v>1</v>
      </c>
      <c r="J316" s="8">
        <f t="shared" si="29"/>
        <v>5</v>
      </c>
      <c r="K316" s="15">
        <v>4.6296292566694319E-5</v>
      </c>
      <c r="M316" s="8">
        <f t="shared" si="26"/>
        <v>411</v>
      </c>
      <c r="N316" s="9" t="s">
        <v>63</v>
      </c>
      <c r="O316" s="9" t="s">
        <v>16</v>
      </c>
      <c r="P316" s="9">
        <v>1361</v>
      </c>
      <c r="Q316" s="9">
        <v>325</v>
      </c>
      <c r="R316" s="8" t="s">
        <v>17</v>
      </c>
      <c r="S316" s="11">
        <v>188</v>
      </c>
      <c r="T316" s="10">
        <v>0.27</v>
      </c>
    </row>
    <row r="317" spans="1:20" x14ac:dyDescent="0.3">
      <c r="A317" s="7">
        <f t="shared" si="27"/>
        <v>312</v>
      </c>
      <c r="B317" s="8">
        <v>476</v>
      </c>
      <c r="C317" s="9" t="str">
        <f t="shared" si="25"/>
        <v>4120x85185fe3A4e36079818Ba1d12705A9B6898997040xa60AdD2af71a4f50b3F94509E71a1e9DbDeA5dDa1111142unidade2190027</v>
      </c>
      <c r="D317" s="13" t="s">
        <v>379</v>
      </c>
      <c r="E317" s="8" t="s">
        <v>1262</v>
      </c>
      <c r="F317" s="8">
        <f t="shared" si="28"/>
        <v>0</v>
      </c>
      <c r="G317" s="8">
        <f t="shared" si="28"/>
        <v>0</v>
      </c>
      <c r="H317" s="8">
        <f t="shared" si="28"/>
        <v>1</v>
      </c>
      <c r="I317" s="8">
        <f t="shared" si="28"/>
        <v>7</v>
      </c>
      <c r="J317" s="8">
        <f t="shared" si="29"/>
        <v>1</v>
      </c>
      <c r="K317" s="15">
        <v>1.1574074596865103E-4</v>
      </c>
      <c r="M317" s="8">
        <f t="shared" si="26"/>
        <v>412</v>
      </c>
      <c r="N317" s="9" t="s">
        <v>63</v>
      </c>
      <c r="O317" s="9" t="s">
        <v>16</v>
      </c>
      <c r="P317" s="9">
        <v>1111</v>
      </c>
      <c r="Q317" s="9">
        <v>142</v>
      </c>
      <c r="R317" s="8" t="s">
        <v>17</v>
      </c>
      <c r="S317" s="11">
        <v>219</v>
      </c>
      <c r="T317" s="10">
        <v>0.27</v>
      </c>
    </row>
    <row r="318" spans="1:20" x14ac:dyDescent="0.3">
      <c r="A318" s="7">
        <f t="shared" si="27"/>
        <v>313</v>
      </c>
      <c r="B318" s="8">
        <v>106</v>
      </c>
      <c r="C318" s="9" t="str">
        <f t="shared" si="25"/>
        <v>4130x85185fe3A4e36079818Ba1d12705A9B6898997040xa60AdD2af71a4f50b3F94509E71a1e9DbDeA5dDa1885414unidade1760027</v>
      </c>
      <c r="D318" s="13" t="s">
        <v>380</v>
      </c>
      <c r="E318" s="8" t="s">
        <v>1263</v>
      </c>
      <c r="F318" s="8">
        <f t="shared" si="28"/>
        <v>0</v>
      </c>
      <c r="G318" s="8">
        <f t="shared" si="28"/>
        <v>0</v>
      </c>
      <c r="H318" s="8">
        <f t="shared" si="28"/>
        <v>4</v>
      </c>
      <c r="I318" s="8">
        <f t="shared" si="28"/>
        <v>5</v>
      </c>
      <c r="J318" s="8">
        <f t="shared" si="29"/>
        <v>4</v>
      </c>
      <c r="K318" s="15">
        <v>3.4722223062999547E-5</v>
      </c>
      <c r="M318" s="8">
        <f t="shared" si="26"/>
        <v>413</v>
      </c>
      <c r="N318" s="9" t="s">
        <v>63</v>
      </c>
      <c r="O318" s="9" t="s">
        <v>16</v>
      </c>
      <c r="P318" s="9">
        <v>1885</v>
      </c>
      <c r="Q318" s="9">
        <v>414</v>
      </c>
      <c r="R318" s="8" t="s">
        <v>17</v>
      </c>
      <c r="S318" s="11">
        <v>176</v>
      </c>
      <c r="T318" s="10">
        <v>0.27</v>
      </c>
    </row>
    <row r="319" spans="1:20" x14ac:dyDescent="0.3">
      <c r="A319" s="7">
        <f t="shared" si="27"/>
        <v>314</v>
      </c>
      <c r="B319" s="8">
        <v>64</v>
      </c>
      <c r="C319" s="9" t="str">
        <f t="shared" si="25"/>
        <v>4140x85185fe3A4e36079818Ba1d12705A9B6898997040xa60AdD2af71a4f50b3F94509E71a1e9DbDeA5dDa1878143unidade1890027</v>
      </c>
      <c r="D319" s="13" t="s">
        <v>381</v>
      </c>
      <c r="E319" s="8" t="s">
        <v>1264</v>
      </c>
      <c r="F319" s="8">
        <f t="shared" si="28"/>
        <v>0</v>
      </c>
      <c r="G319" s="8">
        <f t="shared" si="28"/>
        <v>0</v>
      </c>
      <c r="H319" s="8">
        <f t="shared" si="28"/>
        <v>1</v>
      </c>
      <c r="I319" s="8">
        <f t="shared" si="28"/>
        <v>3</v>
      </c>
      <c r="J319" s="8">
        <f t="shared" si="29"/>
        <v>1</v>
      </c>
      <c r="K319" s="15">
        <v>1.1574069503694773E-5</v>
      </c>
      <c r="M319" s="8">
        <f t="shared" si="26"/>
        <v>414</v>
      </c>
      <c r="N319" s="9" t="s">
        <v>63</v>
      </c>
      <c r="O319" s="9" t="s">
        <v>16</v>
      </c>
      <c r="P319" s="9">
        <v>1878</v>
      </c>
      <c r="Q319" s="9">
        <v>143</v>
      </c>
      <c r="R319" s="8" t="s">
        <v>17</v>
      </c>
      <c r="S319" s="11">
        <v>189</v>
      </c>
      <c r="T319" s="10">
        <v>0.27</v>
      </c>
    </row>
    <row r="320" spans="1:20" x14ac:dyDescent="0.3">
      <c r="A320" s="7">
        <f t="shared" si="27"/>
        <v>315</v>
      </c>
      <c r="B320" s="8">
        <v>62</v>
      </c>
      <c r="C320" s="9" t="str">
        <f t="shared" si="25"/>
        <v>4150x85185fe3A4e36079818Ba1d12705A9B6898997040xa60AdD2af71a4f50b3F94509E71a1e9DbDeA5dDa1606221unidade1410027</v>
      </c>
      <c r="D320" s="13" t="s">
        <v>382</v>
      </c>
      <c r="E320" s="8" t="s">
        <v>782</v>
      </c>
      <c r="F320" s="8">
        <f t="shared" si="28"/>
        <v>0</v>
      </c>
      <c r="G320" s="8">
        <f t="shared" si="28"/>
        <v>0</v>
      </c>
      <c r="H320" s="8">
        <f t="shared" si="28"/>
        <v>0</v>
      </c>
      <c r="I320" s="8">
        <f t="shared" si="28"/>
        <v>9</v>
      </c>
      <c r="J320" s="8">
        <f t="shared" si="29"/>
        <v>0</v>
      </c>
      <c r="K320" s="15">
        <v>2.314814628334716E-5</v>
      </c>
      <c r="M320" s="8">
        <f t="shared" si="26"/>
        <v>415</v>
      </c>
      <c r="N320" s="9" t="s">
        <v>63</v>
      </c>
      <c r="O320" s="9" t="s">
        <v>16</v>
      </c>
      <c r="P320" s="9">
        <v>1606</v>
      </c>
      <c r="Q320" s="9">
        <v>221</v>
      </c>
      <c r="R320" s="8" t="s">
        <v>17</v>
      </c>
      <c r="S320" s="11">
        <v>141</v>
      </c>
      <c r="T320" s="10">
        <v>0.27</v>
      </c>
    </row>
    <row r="321" spans="1:20" x14ac:dyDescent="0.3">
      <c r="A321" s="7">
        <f t="shared" si="27"/>
        <v>316</v>
      </c>
      <c r="B321" s="8">
        <v>814</v>
      </c>
      <c r="C321" s="9" t="str">
        <f t="shared" si="25"/>
        <v>4160x85185fe3A4e36079818Ba1d12705A9B6898997040xa60AdD2af71a4f50b3F94509E71a1e9DbDeA5dDa1147454unidade1840027</v>
      </c>
      <c r="D321" s="13" t="s">
        <v>383</v>
      </c>
      <c r="E321" s="8" t="s">
        <v>1265</v>
      </c>
      <c r="F321" s="8">
        <f t="shared" si="28"/>
        <v>0</v>
      </c>
      <c r="G321" s="8">
        <f t="shared" si="28"/>
        <v>0</v>
      </c>
      <c r="H321" s="8">
        <f t="shared" si="28"/>
        <v>5</v>
      </c>
      <c r="I321" s="8">
        <f t="shared" si="28"/>
        <v>0</v>
      </c>
      <c r="J321" s="8">
        <f t="shared" si="29"/>
        <v>5</v>
      </c>
      <c r="K321" s="15">
        <v>2.0833333837799728E-4</v>
      </c>
      <c r="M321" s="8">
        <f t="shared" si="26"/>
        <v>416</v>
      </c>
      <c r="N321" s="9" t="s">
        <v>63</v>
      </c>
      <c r="O321" s="9" t="s">
        <v>16</v>
      </c>
      <c r="P321" s="9">
        <v>1147</v>
      </c>
      <c r="Q321" s="9">
        <v>454</v>
      </c>
      <c r="R321" s="8" t="s">
        <v>17</v>
      </c>
      <c r="S321" s="11">
        <v>184</v>
      </c>
      <c r="T321" s="10">
        <v>0.27</v>
      </c>
    </row>
    <row r="322" spans="1:20" x14ac:dyDescent="0.3">
      <c r="A322" s="7">
        <f t="shared" si="27"/>
        <v>317</v>
      </c>
      <c r="B322" s="8">
        <v>151</v>
      </c>
      <c r="C322" s="9" t="str">
        <f t="shared" si="25"/>
        <v>4170x85185fe3A4e36079818Ba1d12705A9B6898997040xa60AdD2af71a4f50b3F94509E71a1e9DbDeA5dDa1277359unidade1080027</v>
      </c>
      <c r="D322" s="13" t="s">
        <v>384</v>
      </c>
      <c r="E322" s="8" t="s">
        <v>1266</v>
      </c>
      <c r="F322" s="8">
        <f t="shared" si="28"/>
        <v>0</v>
      </c>
      <c r="G322" s="8">
        <f t="shared" si="28"/>
        <v>0</v>
      </c>
      <c r="H322" s="8">
        <f t="shared" si="28"/>
        <v>3</v>
      </c>
      <c r="I322" s="8">
        <f t="shared" si="28"/>
        <v>1</v>
      </c>
      <c r="J322" s="8">
        <f t="shared" si="29"/>
        <v>3</v>
      </c>
      <c r="K322" s="15">
        <v>3.4722223062999547E-5</v>
      </c>
      <c r="M322" s="8">
        <f t="shared" si="26"/>
        <v>417</v>
      </c>
      <c r="N322" s="9" t="s">
        <v>63</v>
      </c>
      <c r="O322" s="9" t="s">
        <v>16</v>
      </c>
      <c r="P322" s="9">
        <v>1277</v>
      </c>
      <c r="Q322" s="9">
        <v>359</v>
      </c>
      <c r="R322" s="8" t="s">
        <v>17</v>
      </c>
      <c r="S322" s="11">
        <v>108</v>
      </c>
      <c r="T322" s="10">
        <v>0.27</v>
      </c>
    </row>
    <row r="323" spans="1:20" x14ac:dyDescent="0.3">
      <c r="A323" s="7">
        <f t="shared" si="27"/>
        <v>318</v>
      </c>
      <c r="B323" s="8">
        <v>185</v>
      </c>
      <c r="C323" s="9" t="str">
        <f t="shared" si="25"/>
        <v>4180x85185fe3A4e36079818Ba1d12705A9B6898997040xa60AdD2af71a4f50b3F94509E71a1e9DbDeA5dDa1972143unidade1860027</v>
      </c>
      <c r="D323" s="13" t="s">
        <v>385</v>
      </c>
      <c r="E323" s="8" t="s">
        <v>1267</v>
      </c>
      <c r="F323" s="8">
        <f t="shared" si="28"/>
        <v>0</v>
      </c>
      <c r="G323" s="8">
        <f t="shared" si="28"/>
        <v>0</v>
      </c>
      <c r="H323" s="8">
        <f t="shared" si="28"/>
        <v>4</v>
      </c>
      <c r="I323" s="8">
        <f t="shared" si="28"/>
        <v>4</v>
      </c>
      <c r="J323" s="8">
        <f t="shared" si="29"/>
        <v>4</v>
      </c>
      <c r="K323" s="15">
        <v>5.7870369346346706E-5</v>
      </c>
      <c r="M323" s="8">
        <f t="shared" si="26"/>
        <v>418</v>
      </c>
      <c r="N323" s="9" t="s">
        <v>63</v>
      </c>
      <c r="O323" s="9" t="s">
        <v>16</v>
      </c>
      <c r="P323" s="9">
        <v>1972</v>
      </c>
      <c r="Q323" s="9">
        <v>143</v>
      </c>
      <c r="R323" s="8" t="s">
        <v>17</v>
      </c>
      <c r="S323" s="11">
        <v>186</v>
      </c>
      <c r="T323" s="10">
        <v>0.27</v>
      </c>
    </row>
    <row r="324" spans="1:20" x14ac:dyDescent="0.3">
      <c r="A324" s="7">
        <f t="shared" si="27"/>
        <v>319</v>
      </c>
      <c r="B324" s="8">
        <v>126</v>
      </c>
      <c r="C324" s="9" t="str">
        <f t="shared" si="25"/>
        <v>4190x85185fe3A4e36079818Ba1d12705A9B6898997040xa60AdD2af71a4f50b3F94509E71a1e9DbDeA5dDa1748241unidade2390027</v>
      </c>
      <c r="D324" s="13" t="s">
        <v>386</v>
      </c>
      <c r="E324" s="8" t="s">
        <v>1268</v>
      </c>
      <c r="F324" s="8">
        <f t="shared" si="28"/>
        <v>0</v>
      </c>
      <c r="G324" s="8">
        <f t="shared" si="28"/>
        <v>0</v>
      </c>
      <c r="H324" s="8">
        <f t="shared" si="28"/>
        <v>1</v>
      </c>
      <c r="I324" s="8">
        <f t="shared" si="28"/>
        <v>1</v>
      </c>
      <c r="J324" s="8">
        <f t="shared" si="29"/>
        <v>1</v>
      </c>
      <c r="K324" s="15">
        <v>2.314814628334716E-5</v>
      </c>
      <c r="M324" s="8">
        <f t="shared" si="26"/>
        <v>419</v>
      </c>
      <c r="N324" s="9" t="s">
        <v>63</v>
      </c>
      <c r="O324" s="9" t="s">
        <v>16</v>
      </c>
      <c r="P324" s="9">
        <v>1748</v>
      </c>
      <c r="Q324" s="9">
        <v>241</v>
      </c>
      <c r="R324" s="8" t="s">
        <v>17</v>
      </c>
      <c r="S324" s="11">
        <v>239</v>
      </c>
      <c r="T324" s="10">
        <v>0.27</v>
      </c>
    </row>
    <row r="325" spans="1:20" x14ac:dyDescent="0.3">
      <c r="A325" s="7">
        <f t="shared" si="27"/>
        <v>320</v>
      </c>
      <c r="B325" s="8">
        <v>336</v>
      </c>
      <c r="C325" s="9" t="str">
        <f t="shared" si="25"/>
        <v>4200x85185fe3A4e36079818Ba1d12705A9B6898997040xa60AdD2af71a4f50b3F94509E71a1e9DbDeA5dDa1200312unidade1100027</v>
      </c>
      <c r="D325" s="13" t="s">
        <v>387</v>
      </c>
      <c r="E325" s="8" t="s">
        <v>1269</v>
      </c>
      <c r="F325" s="8">
        <f t="shared" si="28"/>
        <v>0</v>
      </c>
      <c r="G325" s="8">
        <f t="shared" si="28"/>
        <v>0</v>
      </c>
      <c r="H325" s="8">
        <f t="shared" si="28"/>
        <v>2</v>
      </c>
      <c r="I325" s="8">
        <f t="shared" si="28"/>
        <v>9</v>
      </c>
      <c r="J325" s="8">
        <f t="shared" si="29"/>
        <v>2</v>
      </c>
      <c r="K325" s="15">
        <v>8.1018515629693866E-5</v>
      </c>
      <c r="M325" s="8">
        <f t="shared" si="26"/>
        <v>420</v>
      </c>
      <c r="N325" s="9" t="s">
        <v>63</v>
      </c>
      <c r="O325" s="9" t="s">
        <v>16</v>
      </c>
      <c r="P325" s="9">
        <v>1200</v>
      </c>
      <c r="Q325" s="9">
        <v>312</v>
      </c>
      <c r="R325" s="8" t="s">
        <v>17</v>
      </c>
      <c r="S325" s="11">
        <v>110</v>
      </c>
      <c r="T325" s="10">
        <v>0.27</v>
      </c>
    </row>
    <row r="326" spans="1:20" x14ac:dyDescent="0.3">
      <c r="A326" s="7">
        <f t="shared" si="27"/>
        <v>321</v>
      </c>
      <c r="B326" s="8">
        <v>502</v>
      </c>
      <c r="C326" s="9" t="str">
        <f t="shared" ref="C326:C389" si="30">M326&amp;N326&amp;O326&amp;P326&amp;Q326&amp;R326&amp;(S326*100)&amp;(T326*100)</f>
        <v>4210x85185fe3A4e36079818Ba1d12705A9B6898997040xa60AdD2af71a4f50b3F94509E71a1e9DbDeA5dDa1602353unidade1520027</v>
      </c>
      <c r="D326" s="13" t="s">
        <v>388</v>
      </c>
      <c r="E326" s="8" t="s">
        <v>1270</v>
      </c>
      <c r="F326" s="8">
        <f t="shared" si="28"/>
        <v>0</v>
      </c>
      <c r="G326" s="8">
        <f t="shared" si="28"/>
        <v>0</v>
      </c>
      <c r="H326" s="8">
        <f t="shared" si="28"/>
        <v>1</v>
      </c>
      <c r="I326" s="8">
        <f t="shared" si="28"/>
        <v>9</v>
      </c>
      <c r="J326" s="8">
        <f t="shared" si="29"/>
        <v>1</v>
      </c>
      <c r="K326" s="15">
        <v>1.273148154723458E-4</v>
      </c>
      <c r="M326" s="8">
        <f t="shared" ref="M326:M389" si="31">1+M325</f>
        <v>421</v>
      </c>
      <c r="N326" s="9" t="s">
        <v>63</v>
      </c>
      <c r="O326" s="9" t="s">
        <v>16</v>
      </c>
      <c r="P326" s="9">
        <v>1602</v>
      </c>
      <c r="Q326" s="9">
        <v>353</v>
      </c>
      <c r="R326" s="8" t="s">
        <v>17</v>
      </c>
      <c r="S326" s="11">
        <v>152</v>
      </c>
      <c r="T326" s="10">
        <v>0.27</v>
      </c>
    </row>
    <row r="327" spans="1:20" x14ac:dyDescent="0.3">
      <c r="A327" s="7">
        <f t="shared" ref="A327:A390" si="32">1+A326</f>
        <v>322</v>
      </c>
      <c r="B327" s="8">
        <v>88</v>
      </c>
      <c r="C327" s="9" t="str">
        <f t="shared" si="30"/>
        <v>4220x85185fe3A4e36079818Ba1d12705A9B6898997040xa60AdD2af71a4f50b3F94509E71a1e9DbDeA5dDa1862454unidade2030027</v>
      </c>
      <c r="D327" s="13" t="s">
        <v>389</v>
      </c>
      <c r="E327" s="8" t="s">
        <v>1271</v>
      </c>
      <c r="F327" s="8">
        <f t="shared" si="28"/>
        <v>0</v>
      </c>
      <c r="G327" s="8">
        <f t="shared" si="28"/>
        <v>0</v>
      </c>
      <c r="H327" s="8">
        <f t="shared" si="28"/>
        <v>3</v>
      </c>
      <c r="I327" s="8">
        <f t="shared" si="28"/>
        <v>1</v>
      </c>
      <c r="J327" s="8">
        <f t="shared" si="29"/>
        <v>3</v>
      </c>
      <c r="K327" s="15">
        <v>2.314814628334716E-5</v>
      </c>
      <c r="M327" s="8">
        <f t="shared" si="31"/>
        <v>422</v>
      </c>
      <c r="N327" s="9" t="s">
        <v>63</v>
      </c>
      <c r="O327" s="9" t="s">
        <v>16</v>
      </c>
      <c r="P327" s="9">
        <v>1862</v>
      </c>
      <c r="Q327" s="9">
        <v>454</v>
      </c>
      <c r="R327" s="8" t="s">
        <v>17</v>
      </c>
      <c r="S327" s="11">
        <v>203</v>
      </c>
      <c r="T327" s="10">
        <v>0.27</v>
      </c>
    </row>
    <row r="328" spans="1:20" x14ac:dyDescent="0.3">
      <c r="A328" s="7">
        <f t="shared" si="32"/>
        <v>323</v>
      </c>
      <c r="B328" s="8">
        <v>31</v>
      </c>
      <c r="C328" s="9" t="str">
        <f t="shared" si="30"/>
        <v>4230x85185fe3A4e36079818Ba1d12705A9B6898997040xa60AdD2af71a4f50b3F94509E71a1e9DbDeA5dDa1926253unidade2300027</v>
      </c>
      <c r="D328" s="13" t="s">
        <v>390</v>
      </c>
      <c r="E328" s="8" t="s">
        <v>1272</v>
      </c>
      <c r="F328" s="8">
        <f t="shared" si="28"/>
        <v>0</v>
      </c>
      <c r="G328" s="8">
        <f t="shared" si="28"/>
        <v>0</v>
      </c>
      <c r="H328" s="8">
        <f t="shared" si="28"/>
        <v>1</v>
      </c>
      <c r="I328" s="8">
        <f t="shared" si="28"/>
        <v>8</v>
      </c>
      <c r="J328" s="8">
        <f t="shared" si="29"/>
        <v>1</v>
      </c>
      <c r="K328" s="15">
        <v>1.1574076779652387E-5</v>
      </c>
      <c r="M328" s="8">
        <f t="shared" si="31"/>
        <v>423</v>
      </c>
      <c r="N328" s="9" t="s">
        <v>63</v>
      </c>
      <c r="O328" s="9" t="s">
        <v>16</v>
      </c>
      <c r="P328" s="9">
        <v>1926</v>
      </c>
      <c r="Q328" s="9">
        <v>253</v>
      </c>
      <c r="R328" s="8" t="s">
        <v>17</v>
      </c>
      <c r="S328" s="11">
        <v>230</v>
      </c>
      <c r="T328" s="10">
        <v>0.27</v>
      </c>
    </row>
    <row r="329" spans="1:20" x14ac:dyDescent="0.3">
      <c r="A329" s="7">
        <f t="shared" si="32"/>
        <v>324</v>
      </c>
      <c r="B329" s="8">
        <v>90</v>
      </c>
      <c r="C329" s="9" t="str">
        <f t="shared" si="30"/>
        <v>4240x85185fe3A4e36079818Ba1d12705A9B6898997040xa60AdD2af71a4f50b3F94509E71a1e9DbDeA5dDa1546498unidade2450027</v>
      </c>
      <c r="D329" s="13" t="s">
        <v>391</v>
      </c>
      <c r="E329" s="8" t="s">
        <v>1273</v>
      </c>
      <c r="F329" s="8">
        <f t="shared" si="28"/>
        <v>0</v>
      </c>
      <c r="G329" s="8">
        <f t="shared" si="28"/>
        <v>0</v>
      </c>
      <c r="H329" s="8">
        <f t="shared" si="28"/>
        <v>6</v>
      </c>
      <c r="I329" s="8">
        <f t="shared" si="28"/>
        <v>0</v>
      </c>
      <c r="J329" s="8">
        <f t="shared" si="29"/>
        <v>6</v>
      </c>
      <c r="K329" s="15">
        <v>2.314814628334716E-5</v>
      </c>
      <c r="M329" s="8">
        <f t="shared" si="31"/>
        <v>424</v>
      </c>
      <c r="N329" s="9" t="s">
        <v>63</v>
      </c>
      <c r="O329" s="9" t="s">
        <v>16</v>
      </c>
      <c r="P329" s="9">
        <v>1546</v>
      </c>
      <c r="Q329" s="9">
        <v>498</v>
      </c>
      <c r="R329" s="8" t="s">
        <v>17</v>
      </c>
      <c r="S329" s="11">
        <v>245</v>
      </c>
      <c r="T329" s="10">
        <v>0.27</v>
      </c>
    </row>
    <row r="330" spans="1:20" x14ac:dyDescent="0.3">
      <c r="A330" s="7">
        <f t="shared" si="32"/>
        <v>325</v>
      </c>
      <c r="B330" s="8">
        <v>198</v>
      </c>
      <c r="C330" s="9" t="str">
        <f t="shared" si="30"/>
        <v>4250x85185fe3A4e36079818Ba1d12705A9B6898997040xa60AdD2af71a4f50b3F94509E71a1e9DbDeA5dDa1106175unidade520027</v>
      </c>
      <c r="D330" s="13" t="s">
        <v>392</v>
      </c>
      <c r="E330" s="8" t="s">
        <v>1274</v>
      </c>
      <c r="F330" s="8">
        <f t="shared" si="28"/>
        <v>0</v>
      </c>
      <c r="G330" s="8">
        <f t="shared" si="28"/>
        <v>0</v>
      </c>
      <c r="H330" s="8">
        <f t="shared" si="28"/>
        <v>1</v>
      </c>
      <c r="I330" s="8">
        <f t="shared" si="28"/>
        <v>9</v>
      </c>
      <c r="J330" s="8">
        <f t="shared" si="29"/>
        <v>1</v>
      </c>
      <c r="K330" s="15">
        <v>5.7870369346346706E-5</v>
      </c>
      <c r="M330" s="8">
        <f t="shared" si="31"/>
        <v>425</v>
      </c>
      <c r="N330" s="9" t="s">
        <v>63</v>
      </c>
      <c r="O330" s="9" t="s">
        <v>16</v>
      </c>
      <c r="P330" s="9">
        <v>1106</v>
      </c>
      <c r="Q330" s="9">
        <v>175</v>
      </c>
      <c r="R330" s="8" t="s">
        <v>17</v>
      </c>
      <c r="S330" s="11">
        <v>52</v>
      </c>
      <c r="T330" s="10">
        <v>0.27</v>
      </c>
    </row>
    <row r="331" spans="1:20" x14ac:dyDescent="0.3">
      <c r="A331" s="7">
        <f t="shared" si="32"/>
        <v>326</v>
      </c>
      <c r="B331" s="8">
        <v>44</v>
      </c>
      <c r="C331" s="9" t="str">
        <f t="shared" si="30"/>
        <v>4260x85185fe3A4e36079818Ba1d12705A9B6898997040xa60AdD2af71a4f50b3F94509E71a1e9DbDeA5dDa1676124unidade1630027</v>
      </c>
      <c r="D331" s="13" t="s">
        <v>393</v>
      </c>
      <c r="E331" s="8" t="s">
        <v>1275</v>
      </c>
      <c r="F331" s="8">
        <f t="shared" si="28"/>
        <v>0</v>
      </c>
      <c r="G331" s="8">
        <f t="shared" si="28"/>
        <v>0</v>
      </c>
      <c r="H331" s="8">
        <f t="shared" si="28"/>
        <v>1</v>
      </c>
      <c r="I331" s="8">
        <f t="shared" si="28"/>
        <v>9</v>
      </c>
      <c r="J331" s="8">
        <f t="shared" si="29"/>
        <v>1</v>
      </c>
      <c r="K331" s="15">
        <v>1.1574076779652387E-5</v>
      </c>
      <c r="M331" s="8">
        <f t="shared" si="31"/>
        <v>426</v>
      </c>
      <c r="N331" s="9" t="s">
        <v>63</v>
      </c>
      <c r="O331" s="9" t="s">
        <v>16</v>
      </c>
      <c r="P331" s="9">
        <v>1676</v>
      </c>
      <c r="Q331" s="9">
        <v>124</v>
      </c>
      <c r="R331" s="8" t="s">
        <v>17</v>
      </c>
      <c r="S331" s="11">
        <v>163</v>
      </c>
      <c r="T331" s="10">
        <v>0.27</v>
      </c>
    </row>
    <row r="332" spans="1:20" x14ac:dyDescent="0.3">
      <c r="A332" s="7">
        <f t="shared" si="32"/>
        <v>327</v>
      </c>
      <c r="B332" s="8">
        <v>58</v>
      </c>
      <c r="C332" s="9" t="str">
        <f t="shared" si="30"/>
        <v>4270x85185fe3A4e36079818Ba1d12705A9B6898997040xa60AdD2af71a4f50b3F94509E71a1e9DbDeA5dDa1049239unidade2110027</v>
      </c>
      <c r="D332" s="13" t="s">
        <v>394</v>
      </c>
      <c r="E332" s="8" t="s">
        <v>1276</v>
      </c>
      <c r="F332" s="8">
        <f t="shared" si="28"/>
        <v>0</v>
      </c>
      <c r="G332" s="8">
        <f t="shared" si="28"/>
        <v>0</v>
      </c>
      <c r="H332" s="8">
        <f t="shared" si="28"/>
        <v>1</v>
      </c>
      <c r="I332" s="8">
        <f t="shared" si="28"/>
        <v>1</v>
      </c>
      <c r="J332" s="8">
        <f t="shared" si="29"/>
        <v>1</v>
      </c>
      <c r="K332" s="15">
        <v>1.1574069503694773E-5</v>
      </c>
      <c r="M332" s="8">
        <f t="shared" si="31"/>
        <v>427</v>
      </c>
      <c r="N332" s="9" t="s">
        <v>63</v>
      </c>
      <c r="O332" s="9" t="s">
        <v>16</v>
      </c>
      <c r="P332" s="9">
        <v>1049</v>
      </c>
      <c r="Q332" s="9">
        <v>239</v>
      </c>
      <c r="R332" s="8" t="s">
        <v>17</v>
      </c>
      <c r="S332" s="11">
        <v>211</v>
      </c>
      <c r="T332" s="10">
        <v>0.27</v>
      </c>
    </row>
    <row r="333" spans="1:20" x14ac:dyDescent="0.3">
      <c r="A333" s="7">
        <f t="shared" si="32"/>
        <v>328</v>
      </c>
      <c r="B333" s="8">
        <v>177</v>
      </c>
      <c r="C333" s="9" t="str">
        <f t="shared" si="30"/>
        <v>4280x85185fe3A4e36079818Ba1d12705A9B6898997040xa60AdD2af71a4f50b3F94509E71a1e9DbDeA5dDa1902124unidade1280027</v>
      </c>
      <c r="D333" s="13" t="s">
        <v>395</v>
      </c>
      <c r="E333" s="8" t="s">
        <v>1277</v>
      </c>
      <c r="F333" s="8">
        <f t="shared" si="28"/>
        <v>0</v>
      </c>
      <c r="G333" s="8">
        <f t="shared" si="28"/>
        <v>0</v>
      </c>
      <c r="H333" s="8">
        <f t="shared" si="28"/>
        <v>1</v>
      </c>
      <c r="I333" s="8">
        <f t="shared" si="28"/>
        <v>1</v>
      </c>
      <c r="J333" s="8">
        <f t="shared" si="29"/>
        <v>1</v>
      </c>
      <c r="K333" s="15">
        <v>4.6296299842651933E-5</v>
      </c>
      <c r="M333" s="8">
        <f t="shared" si="31"/>
        <v>428</v>
      </c>
      <c r="N333" s="9" t="s">
        <v>63</v>
      </c>
      <c r="O333" s="9" t="s">
        <v>16</v>
      </c>
      <c r="P333" s="9">
        <v>1902</v>
      </c>
      <c r="Q333" s="9">
        <v>124</v>
      </c>
      <c r="R333" s="8" t="s">
        <v>17</v>
      </c>
      <c r="S333" s="11">
        <v>128</v>
      </c>
      <c r="T333" s="10">
        <v>0.27</v>
      </c>
    </row>
    <row r="334" spans="1:20" x14ac:dyDescent="0.3">
      <c r="A334" s="7">
        <f t="shared" si="32"/>
        <v>329</v>
      </c>
      <c r="B334" s="8">
        <v>239</v>
      </c>
      <c r="C334" s="9" t="str">
        <f t="shared" si="30"/>
        <v>4290x85185fe3A4e36079818Ba1d12705A9B6898997040xa60AdD2af71a4f50b3F94509E71a1e9DbDeA5dDa1489165unidade2330027</v>
      </c>
      <c r="D334" s="13" t="s">
        <v>396</v>
      </c>
      <c r="E334" s="8" t="s">
        <v>796</v>
      </c>
      <c r="F334" s="8">
        <f t="shared" si="28"/>
        <v>0</v>
      </c>
      <c r="G334" s="8">
        <f t="shared" si="28"/>
        <v>0</v>
      </c>
      <c r="H334" s="8">
        <f t="shared" si="28"/>
        <v>0</v>
      </c>
      <c r="I334" s="8">
        <f t="shared" si="28"/>
        <v>2</v>
      </c>
      <c r="J334" s="8">
        <f t="shared" si="29"/>
        <v>0</v>
      </c>
      <c r="K334" s="15">
        <v>5.7870369346346706E-5</v>
      </c>
      <c r="M334" s="8">
        <f t="shared" si="31"/>
        <v>429</v>
      </c>
      <c r="N334" s="9" t="s">
        <v>63</v>
      </c>
      <c r="O334" s="9" t="s">
        <v>16</v>
      </c>
      <c r="P334" s="9">
        <v>1489</v>
      </c>
      <c r="Q334" s="9">
        <v>165</v>
      </c>
      <c r="R334" s="8" t="s">
        <v>17</v>
      </c>
      <c r="S334" s="11">
        <v>233</v>
      </c>
      <c r="T334" s="10">
        <v>0.27</v>
      </c>
    </row>
    <row r="335" spans="1:20" x14ac:dyDescent="0.3">
      <c r="A335" s="7">
        <f t="shared" si="32"/>
        <v>330</v>
      </c>
      <c r="B335" s="8">
        <v>65</v>
      </c>
      <c r="C335" s="9" t="str">
        <f t="shared" si="30"/>
        <v>4300x85185fe3A4e36079818Ba1d12705A9B6898997040xa60AdD2af71a4f50b3F94509E71a1e9DbDeA5dDa1849310unidade1560027</v>
      </c>
      <c r="D335" s="13" t="s">
        <v>397</v>
      </c>
      <c r="E335" s="8" t="s">
        <v>1278</v>
      </c>
      <c r="F335" s="8">
        <f t="shared" si="28"/>
        <v>0</v>
      </c>
      <c r="G335" s="8">
        <f t="shared" si="28"/>
        <v>0</v>
      </c>
      <c r="H335" s="8">
        <f t="shared" si="28"/>
        <v>1</v>
      </c>
      <c r="I335" s="8">
        <f t="shared" si="28"/>
        <v>1</v>
      </c>
      <c r="J335" s="8">
        <f t="shared" si="29"/>
        <v>1</v>
      </c>
      <c r="K335" s="15">
        <v>2.314814628334716E-5</v>
      </c>
      <c r="M335" s="8">
        <f t="shared" si="31"/>
        <v>430</v>
      </c>
      <c r="N335" s="9" t="s">
        <v>63</v>
      </c>
      <c r="O335" s="9" t="s">
        <v>16</v>
      </c>
      <c r="P335" s="9">
        <v>1849</v>
      </c>
      <c r="Q335" s="9">
        <v>310</v>
      </c>
      <c r="R335" s="8" t="s">
        <v>17</v>
      </c>
      <c r="S335" s="11">
        <v>156</v>
      </c>
      <c r="T335" s="10">
        <v>0.27</v>
      </c>
    </row>
    <row r="336" spans="1:20" x14ac:dyDescent="0.3">
      <c r="A336" s="7">
        <f t="shared" si="32"/>
        <v>331</v>
      </c>
      <c r="B336" s="8">
        <v>66</v>
      </c>
      <c r="C336" s="9" t="str">
        <f t="shared" si="30"/>
        <v>4310x85185fe3A4e36079818Ba1d12705A9B6898997040xa60AdD2af71a4f50b3F94509E71a1e9DbDeA5dDa1740268unidade2090027</v>
      </c>
      <c r="D336" s="13" t="s">
        <v>398</v>
      </c>
      <c r="E336" s="8" t="s">
        <v>1279</v>
      </c>
      <c r="F336" s="8">
        <f t="shared" si="28"/>
        <v>0</v>
      </c>
      <c r="G336" s="8">
        <f t="shared" si="28"/>
        <v>0</v>
      </c>
      <c r="H336" s="8">
        <f t="shared" si="28"/>
        <v>1</v>
      </c>
      <c r="I336" s="8">
        <f t="shared" si="28"/>
        <v>4</v>
      </c>
      <c r="J336" s="8">
        <f t="shared" si="29"/>
        <v>1</v>
      </c>
      <c r="K336" s="15">
        <v>1.1574076779652387E-5</v>
      </c>
      <c r="M336" s="8">
        <f t="shared" si="31"/>
        <v>431</v>
      </c>
      <c r="N336" s="9" t="s">
        <v>63</v>
      </c>
      <c r="O336" s="9" t="s">
        <v>16</v>
      </c>
      <c r="P336" s="9">
        <v>1740</v>
      </c>
      <c r="Q336" s="9">
        <v>268</v>
      </c>
      <c r="R336" s="8" t="s">
        <v>17</v>
      </c>
      <c r="S336" s="11">
        <v>209</v>
      </c>
      <c r="T336" s="10">
        <v>0.27</v>
      </c>
    </row>
    <row r="337" spans="1:20" x14ac:dyDescent="0.3">
      <c r="A337" s="7">
        <f t="shared" si="32"/>
        <v>332</v>
      </c>
      <c r="B337" s="8">
        <v>525</v>
      </c>
      <c r="C337" s="9" t="str">
        <f t="shared" si="30"/>
        <v>4320x85185fe3A4e36079818Ba1d12705A9B6898997040xa60AdD2af71a4f50b3F94509E71a1e9DbDeA5dDa1793341unidade2340027</v>
      </c>
      <c r="D337" s="13" t="s">
        <v>399</v>
      </c>
      <c r="E337" s="8" t="s">
        <v>1280</v>
      </c>
      <c r="F337" s="8">
        <f t="shared" si="28"/>
        <v>0</v>
      </c>
      <c r="G337" s="8">
        <f t="shared" si="28"/>
        <v>0</v>
      </c>
      <c r="H337" s="8">
        <f t="shared" si="28"/>
        <v>1</v>
      </c>
      <c r="I337" s="8">
        <f t="shared" si="28"/>
        <v>1</v>
      </c>
      <c r="J337" s="8">
        <f t="shared" si="29"/>
        <v>1</v>
      </c>
      <c r="K337" s="15">
        <v>1.273148154723458E-4</v>
      </c>
      <c r="M337" s="8">
        <f t="shared" si="31"/>
        <v>432</v>
      </c>
      <c r="N337" s="9" t="s">
        <v>63</v>
      </c>
      <c r="O337" s="9" t="s">
        <v>16</v>
      </c>
      <c r="P337" s="9">
        <v>1793</v>
      </c>
      <c r="Q337" s="9">
        <v>341</v>
      </c>
      <c r="R337" s="8" t="s">
        <v>17</v>
      </c>
      <c r="S337" s="11">
        <v>234</v>
      </c>
      <c r="T337" s="10">
        <v>0.27</v>
      </c>
    </row>
    <row r="338" spans="1:20" x14ac:dyDescent="0.3">
      <c r="A338" s="7">
        <f t="shared" si="32"/>
        <v>333</v>
      </c>
      <c r="B338" s="8">
        <v>33</v>
      </c>
      <c r="C338" s="9" t="str">
        <f t="shared" si="30"/>
        <v>4330x85185fe3A4e36079818Ba1d12705A9B6898997040xa60AdD2af71a4f50b3F94509E71a1e9DbDeA5dDa1103378unidade1030027</v>
      </c>
      <c r="D338" s="13" t="s">
        <v>400</v>
      </c>
      <c r="E338" s="8" t="s">
        <v>1281</v>
      </c>
      <c r="F338" s="8">
        <f t="shared" si="28"/>
        <v>0</v>
      </c>
      <c r="G338" s="8">
        <f t="shared" si="28"/>
        <v>0</v>
      </c>
      <c r="H338" s="8">
        <f t="shared" si="28"/>
        <v>7</v>
      </c>
      <c r="I338" s="8">
        <f t="shared" si="28"/>
        <v>3</v>
      </c>
      <c r="J338" s="8">
        <f t="shared" si="29"/>
        <v>7</v>
      </c>
      <c r="K338" s="15">
        <v>1.1574069503694773E-5</v>
      </c>
      <c r="M338" s="8">
        <f t="shared" si="31"/>
        <v>433</v>
      </c>
      <c r="N338" s="9" t="s">
        <v>63</v>
      </c>
      <c r="O338" s="9" t="s">
        <v>16</v>
      </c>
      <c r="P338" s="9">
        <v>1103</v>
      </c>
      <c r="Q338" s="9">
        <v>378</v>
      </c>
      <c r="R338" s="8" t="s">
        <v>17</v>
      </c>
      <c r="S338" s="11">
        <v>103</v>
      </c>
      <c r="T338" s="10">
        <v>0.27</v>
      </c>
    </row>
    <row r="339" spans="1:20" x14ac:dyDescent="0.3">
      <c r="A339" s="7">
        <f t="shared" si="32"/>
        <v>334</v>
      </c>
      <c r="B339" s="8">
        <v>188</v>
      </c>
      <c r="C339" s="9" t="str">
        <f t="shared" si="30"/>
        <v>4340x85185fe3A4e36079818Ba1d12705A9B6898997040xa60AdD2af71a4f50b3F94509E71a1e9DbDeA5dDa1799206unidade640027</v>
      </c>
      <c r="D339" s="13" t="s">
        <v>401</v>
      </c>
      <c r="E339" s="8" t="s">
        <v>1282</v>
      </c>
      <c r="F339" s="8">
        <f t="shared" si="28"/>
        <v>0</v>
      </c>
      <c r="G339" s="8">
        <f t="shared" si="28"/>
        <v>0</v>
      </c>
      <c r="H339" s="8">
        <f t="shared" si="28"/>
        <v>1</v>
      </c>
      <c r="I339" s="8">
        <f t="shared" si="28"/>
        <v>1</v>
      </c>
      <c r="J339" s="8">
        <f t="shared" si="29"/>
        <v>1</v>
      </c>
      <c r="K339" s="15">
        <v>4.6296299842651933E-5</v>
      </c>
      <c r="M339" s="8">
        <f t="shared" si="31"/>
        <v>434</v>
      </c>
      <c r="N339" s="9" t="s">
        <v>63</v>
      </c>
      <c r="O339" s="9" t="s">
        <v>16</v>
      </c>
      <c r="P339" s="9">
        <v>1799</v>
      </c>
      <c r="Q339" s="9">
        <v>206</v>
      </c>
      <c r="R339" s="8" t="s">
        <v>17</v>
      </c>
      <c r="S339" s="11">
        <v>64</v>
      </c>
      <c r="T339" s="10">
        <v>0.27</v>
      </c>
    </row>
    <row r="340" spans="1:20" x14ac:dyDescent="0.3">
      <c r="A340" s="7">
        <f t="shared" si="32"/>
        <v>335</v>
      </c>
      <c r="B340" s="8">
        <v>59</v>
      </c>
      <c r="C340" s="9" t="str">
        <f t="shared" si="30"/>
        <v>4350x85185fe3A4e36079818Ba1d12705A9B6898997040xa60AdD2af71a4f50b3F94509E71a1e9DbDeA5dDa1019429unidade1390027</v>
      </c>
      <c r="D340" s="13" t="s">
        <v>402</v>
      </c>
      <c r="E340" s="8" t="s">
        <v>802</v>
      </c>
      <c r="F340" s="8">
        <f t="shared" si="28"/>
        <v>0</v>
      </c>
      <c r="G340" s="8">
        <f t="shared" si="28"/>
        <v>0</v>
      </c>
      <c r="H340" s="8">
        <f t="shared" si="28"/>
        <v>0</v>
      </c>
      <c r="I340" s="8">
        <f t="shared" si="28"/>
        <v>0</v>
      </c>
      <c r="J340" s="8">
        <f t="shared" si="29"/>
        <v>0</v>
      </c>
      <c r="K340" s="15">
        <v>1.1574069503694773E-5</v>
      </c>
      <c r="M340" s="8">
        <f t="shared" si="31"/>
        <v>435</v>
      </c>
      <c r="N340" s="9" t="s">
        <v>63</v>
      </c>
      <c r="O340" s="9" t="s">
        <v>16</v>
      </c>
      <c r="P340" s="9">
        <v>1019</v>
      </c>
      <c r="Q340" s="9">
        <v>429</v>
      </c>
      <c r="R340" s="8" t="s">
        <v>17</v>
      </c>
      <c r="S340" s="11">
        <v>139</v>
      </c>
      <c r="T340" s="10">
        <v>0.27</v>
      </c>
    </row>
    <row r="341" spans="1:20" x14ac:dyDescent="0.3">
      <c r="A341" s="7">
        <f t="shared" si="32"/>
        <v>336</v>
      </c>
      <c r="B341" s="8">
        <v>90</v>
      </c>
      <c r="C341" s="9" t="str">
        <f t="shared" si="30"/>
        <v>4360x85185fe3A4e36079818Ba1d12705A9B6898997040xa60AdD2af71a4f50b3F94509E71a1e9DbDeA5dDa1855229unidade900027</v>
      </c>
      <c r="D341" s="13" t="s">
        <v>403</v>
      </c>
      <c r="E341" s="8" t="s">
        <v>1283</v>
      </c>
      <c r="F341" s="8">
        <f t="shared" si="28"/>
        <v>0</v>
      </c>
      <c r="G341" s="8">
        <f t="shared" si="28"/>
        <v>0</v>
      </c>
      <c r="H341" s="8">
        <f t="shared" si="28"/>
        <v>6</v>
      </c>
      <c r="I341" s="8">
        <f t="shared" si="28"/>
        <v>5</v>
      </c>
      <c r="J341" s="8">
        <f t="shared" si="29"/>
        <v>6</v>
      </c>
      <c r="K341" s="15">
        <v>2.314814628334716E-5</v>
      </c>
      <c r="M341" s="8">
        <f t="shared" si="31"/>
        <v>436</v>
      </c>
      <c r="N341" s="9" t="s">
        <v>63</v>
      </c>
      <c r="O341" s="9" t="s">
        <v>16</v>
      </c>
      <c r="P341" s="9">
        <v>1855</v>
      </c>
      <c r="Q341" s="9">
        <v>229</v>
      </c>
      <c r="R341" s="8" t="s">
        <v>17</v>
      </c>
      <c r="S341" s="11">
        <v>90</v>
      </c>
      <c r="T341" s="10">
        <v>0.27</v>
      </c>
    </row>
    <row r="342" spans="1:20" x14ac:dyDescent="0.3">
      <c r="A342" s="7">
        <f t="shared" si="32"/>
        <v>337</v>
      </c>
      <c r="B342" s="8">
        <v>351</v>
      </c>
      <c r="C342" s="9" t="str">
        <f t="shared" si="30"/>
        <v>4370x85185fe3A4e36079818Ba1d12705A9B6898997040xa60AdD2af71a4f50b3F94509E71a1e9DbDeA5dDa1251142unidade500027</v>
      </c>
      <c r="D342" s="13" t="s">
        <v>404</v>
      </c>
      <c r="E342" s="8" t="s">
        <v>1284</v>
      </c>
      <c r="F342" s="8">
        <f t="shared" si="28"/>
        <v>0</v>
      </c>
      <c r="G342" s="8">
        <f t="shared" si="28"/>
        <v>0</v>
      </c>
      <c r="H342" s="8">
        <f t="shared" si="28"/>
        <v>1</v>
      </c>
      <c r="I342" s="8">
        <f t="shared" si="28"/>
        <v>8</v>
      </c>
      <c r="J342" s="8">
        <f t="shared" si="29"/>
        <v>1</v>
      </c>
      <c r="K342" s="15">
        <v>9.2592592409346253E-5</v>
      </c>
      <c r="M342" s="8">
        <f t="shared" si="31"/>
        <v>437</v>
      </c>
      <c r="N342" s="9" t="s">
        <v>63</v>
      </c>
      <c r="O342" s="9" t="s">
        <v>16</v>
      </c>
      <c r="P342" s="9">
        <v>1251</v>
      </c>
      <c r="Q342" s="9">
        <v>142</v>
      </c>
      <c r="R342" s="8" t="s">
        <v>17</v>
      </c>
      <c r="S342" s="11">
        <v>50</v>
      </c>
      <c r="T342" s="10">
        <v>0.27</v>
      </c>
    </row>
    <row r="343" spans="1:20" x14ac:dyDescent="0.3">
      <c r="A343" s="7">
        <f t="shared" si="32"/>
        <v>338</v>
      </c>
      <c r="B343" s="8">
        <v>373</v>
      </c>
      <c r="C343" s="9" t="str">
        <f t="shared" si="30"/>
        <v>4380x85185fe3A4e36079818Ba1d12705A9B6898997040xa60AdD2af71a4f50b3F94509E71a1e9DbDeA5dDa1568238unidade560027</v>
      </c>
      <c r="D343" s="13" t="s">
        <v>405</v>
      </c>
      <c r="E343" s="8" t="s">
        <v>1285</v>
      </c>
      <c r="F343" s="8">
        <f t="shared" si="28"/>
        <v>0</v>
      </c>
      <c r="G343" s="8">
        <f t="shared" si="28"/>
        <v>0</v>
      </c>
      <c r="H343" s="8">
        <f t="shared" si="28"/>
        <v>4</v>
      </c>
      <c r="I343" s="8">
        <f t="shared" si="28"/>
        <v>1</v>
      </c>
      <c r="J343" s="8">
        <f t="shared" si="29"/>
        <v>4</v>
      </c>
      <c r="K343" s="15">
        <v>9.2592592409346253E-5</v>
      </c>
      <c r="M343" s="8">
        <f t="shared" si="31"/>
        <v>438</v>
      </c>
      <c r="N343" s="9" t="s">
        <v>63</v>
      </c>
      <c r="O343" s="9" t="s">
        <v>16</v>
      </c>
      <c r="P343" s="9">
        <v>1568</v>
      </c>
      <c r="Q343" s="9">
        <v>238</v>
      </c>
      <c r="R343" s="8" t="s">
        <v>17</v>
      </c>
      <c r="S343" s="11">
        <v>56</v>
      </c>
      <c r="T343" s="10">
        <v>0.27</v>
      </c>
    </row>
    <row r="344" spans="1:20" x14ac:dyDescent="0.3">
      <c r="A344" s="7">
        <f t="shared" si="32"/>
        <v>339</v>
      </c>
      <c r="B344" s="8">
        <v>148</v>
      </c>
      <c r="C344" s="9" t="str">
        <f t="shared" si="30"/>
        <v>4390x85185fe3A4e36079818Ba1d12705A9B6898997040xa60AdD2af71a4f50b3F94509E71a1e9DbDeA5dDa1996146unidade2440027</v>
      </c>
      <c r="D344" s="13" t="s">
        <v>406</v>
      </c>
      <c r="E344" s="8" t="s">
        <v>1286</v>
      </c>
      <c r="F344" s="8">
        <f t="shared" si="28"/>
        <v>0</v>
      </c>
      <c r="G344" s="8">
        <f t="shared" si="28"/>
        <v>0</v>
      </c>
      <c r="H344" s="8">
        <f t="shared" si="28"/>
        <v>6</v>
      </c>
      <c r="I344" s="8">
        <f t="shared" si="28"/>
        <v>1</v>
      </c>
      <c r="J344" s="8">
        <f t="shared" si="29"/>
        <v>6</v>
      </c>
      <c r="K344" s="15">
        <v>3.4722223062999547E-5</v>
      </c>
      <c r="M344" s="8">
        <f t="shared" si="31"/>
        <v>439</v>
      </c>
      <c r="N344" s="9" t="s">
        <v>63</v>
      </c>
      <c r="O344" s="9" t="s">
        <v>16</v>
      </c>
      <c r="P344" s="9">
        <v>1996</v>
      </c>
      <c r="Q344" s="9">
        <v>146</v>
      </c>
      <c r="R344" s="8" t="s">
        <v>17</v>
      </c>
      <c r="S344" s="11">
        <v>244</v>
      </c>
      <c r="T344" s="10">
        <v>0.27</v>
      </c>
    </row>
    <row r="345" spans="1:20" x14ac:dyDescent="0.3">
      <c r="A345" s="7">
        <f t="shared" si="32"/>
        <v>340</v>
      </c>
      <c r="B345" s="8">
        <v>302</v>
      </c>
      <c r="C345" s="9" t="str">
        <f t="shared" si="30"/>
        <v>4400x85185fe3A4e36079818Ba1d12705A9B6898997040xa60AdD2af71a4f50b3F94509E71a1e9DbDeA5dDa1504120unidade610027</v>
      </c>
      <c r="D345" s="13" t="s">
        <v>407</v>
      </c>
      <c r="E345" s="8" t="s">
        <v>1287</v>
      </c>
      <c r="F345" s="8">
        <f t="shared" si="28"/>
        <v>0</v>
      </c>
      <c r="G345" s="8">
        <f t="shared" si="28"/>
        <v>0</v>
      </c>
      <c r="H345" s="8">
        <f t="shared" si="28"/>
        <v>1</v>
      </c>
      <c r="I345" s="8">
        <f t="shared" si="28"/>
        <v>3</v>
      </c>
      <c r="J345" s="8">
        <f t="shared" si="29"/>
        <v>1</v>
      </c>
      <c r="K345" s="15">
        <v>8.101852290565148E-5</v>
      </c>
      <c r="M345" s="8">
        <f t="shared" si="31"/>
        <v>440</v>
      </c>
      <c r="N345" s="9" t="s">
        <v>63</v>
      </c>
      <c r="O345" s="9" t="s">
        <v>16</v>
      </c>
      <c r="P345" s="9">
        <v>1504</v>
      </c>
      <c r="Q345" s="9">
        <v>120</v>
      </c>
      <c r="R345" s="8" t="s">
        <v>17</v>
      </c>
      <c r="S345" s="11">
        <v>61</v>
      </c>
      <c r="T345" s="10">
        <v>0.27</v>
      </c>
    </row>
    <row r="346" spans="1:20" x14ac:dyDescent="0.3">
      <c r="A346" s="7">
        <f t="shared" si="32"/>
        <v>341</v>
      </c>
      <c r="B346" s="8">
        <v>555</v>
      </c>
      <c r="C346" s="9" t="str">
        <f t="shared" si="30"/>
        <v>4410x85185fe3A4e36079818Ba1d12705A9B6898997040xa60AdD2af71a4f50b3F94509E71a1e9DbDeA5dDa1089406unidade700027</v>
      </c>
      <c r="D346" s="13" t="s">
        <v>408</v>
      </c>
      <c r="E346" s="8" t="s">
        <v>1288</v>
      </c>
      <c r="F346" s="8">
        <f t="shared" si="28"/>
        <v>0</v>
      </c>
      <c r="G346" s="8">
        <f t="shared" si="28"/>
        <v>0</v>
      </c>
      <c r="H346" s="8">
        <f t="shared" si="28"/>
        <v>1</v>
      </c>
      <c r="I346" s="8">
        <f t="shared" si="28"/>
        <v>8</v>
      </c>
      <c r="J346" s="8">
        <f t="shared" si="29"/>
        <v>1</v>
      </c>
      <c r="K346" s="15">
        <v>1.3888888497604057E-4</v>
      </c>
      <c r="M346" s="8">
        <f t="shared" si="31"/>
        <v>441</v>
      </c>
      <c r="N346" s="9" t="s">
        <v>63</v>
      </c>
      <c r="O346" s="9" t="s">
        <v>16</v>
      </c>
      <c r="P346" s="9">
        <v>1089</v>
      </c>
      <c r="Q346" s="9">
        <v>406</v>
      </c>
      <c r="R346" s="8" t="s">
        <v>17</v>
      </c>
      <c r="S346" s="11">
        <v>70</v>
      </c>
      <c r="T346" s="10">
        <v>0.27</v>
      </c>
    </row>
    <row r="347" spans="1:20" x14ac:dyDescent="0.3">
      <c r="A347" s="7">
        <f t="shared" si="32"/>
        <v>342</v>
      </c>
      <c r="B347" s="8">
        <v>33</v>
      </c>
      <c r="C347" s="9" t="str">
        <f t="shared" si="30"/>
        <v>4420x85185fe3A4e36079818Ba1d12705A9B6898997040xa60AdD2af71a4f50b3F94509E71a1e9DbDeA5dDa1825131unidade2380027</v>
      </c>
      <c r="D347" s="13" t="s">
        <v>409</v>
      </c>
      <c r="E347" s="8" t="s">
        <v>1289</v>
      </c>
      <c r="F347" s="8">
        <f t="shared" si="28"/>
        <v>0</v>
      </c>
      <c r="G347" s="8">
        <f t="shared" si="28"/>
        <v>0</v>
      </c>
      <c r="H347" s="8">
        <f t="shared" si="28"/>
        <v>1</v>
      </c>
      <c r="I347" s="8">
        <f t="shared" si="28"/>
        <v>1</v>
      </c>
      <c r="J347" s="8">
        <f t="shared" si="29"/>
        <v>1</v>
      </c>
      <c r="K347" s="15">
        <v>1.1574076779652387E-5</v>
      </c>
      <c r="M347" s="8">
        <f t="shared" si="31"/>
        <v>442</v>
      </c>
      <c r="N347" s="9" t="s">
        <v>63</v>
      </c>
      <c r="O347" s="9" t="s">
        <v>16</v>
      </c>
      <c r="P347" s="9">
        <v>1825</v>
      </c>
      <c r="Q347" s="9">
        <v>131</v>
      </c>
      <c r="R347" s="8" t="s">
        <v>17</v>
      </c>
      <c r="S347" s="11">
        <v>238</v>
      </c>
      <c r="T347" s="10">
        <v>0.27</v>
      </c>
    </row>
    <row r="348" spans="1:20" x14ac:dyDescent="0.3">
      <c r="A348" s="7">
        <f t="shared" si="32"/>
        <v>343</v>
      </c>
      <c r="B348" s="8">
        <v>28</v>
      </c>
      <c r="C348" s="9" t="str">
        <f t="shared" si="30"/>
        <v>4430x85185fe3A4e36079818Ba1d12705A9B6898997040xa60AdD2af71a4f50b3F94509E71a1e9DbDeA5dDa1056489unidade970027</v>
      </c>
      <c r="D348" s="13" t="s">
        <v>410</v>
      </c>
      <c r="E348" s="8" t="s">
        <v>810</v>
      </c>
      <c r="F348" s="8">
        <f t="shared" si="28"/>
        <v>0</v>
      </c>
      <c r="G348" s="8">
        <f t="shared" si="28"/>
        <v>0</v>
      </c>
      <c r="H348" s="8">
        <f t="shared" si="28"/>
        <v>0</v>
      </c>
      <c r="I348" s="8">
        <f t="shared" si="28"/>
        <v>0</v>
      </c>
      <c r="J348" s="8">
        <f t="shared" si="29"/>
        <v>0</v>
      </c>
      <c r="K348" s="15">
        <v>1.1574069503694773E-5</v>
      </c>
      <c r="M348" s="8">
        <f t="shared" si="31"/>
        <v>443</v>
      </c>
      <c r="N348" s="9" t="s">
        <v>63</v>
      </c>
      <c r="O348" s="9" t="s">
        <v>16</v>
      </c>
      <c r="P348" s="9">
        <v>1056</v>
      </c>
      <c r="Q348" s="9">
        <v>489</v>
      </c>
      <c r="R348" s="8" t="s">
        <v>17</v>
      </c>
      <c r="S348" s="11">
        <v>97</v>
      </c>
      <c r="T348" s="10">
        <v>0.27</v>
      </c>
    </row>
    <row r="349" spans="1:20" x14ac:dyDescent="0.3">
      <c r="A349" s="7">
        <f t="shared" si="32"/>
        <v>344</v>
      </c>
      <c r="B349" s="8">
        <v>820</v>
      </c>
      <c r="C349" s="9" t="str">
        <f t="shared" si="30"/>
        <v>4440x85185fe3A4e36079818Ba1d12705A9B6898997040xa60AdD2af71a4f50b3F94509E71a1e9DbDeA5dDa1376425unidade780027</v>
      </c>
      <c r="D349" s="13" t="s">
        <v>411</v>
      </c>
      <c r="E349" s="8" t="s">
        <v>1290</v>
      </c>
      <c r="F349" s="8">
        <f t="shared" si="28"/>
        <v>0</v>
      </c>
      <c r="G349" s="8">
        <f t="shared" si="28"/>
        <v>0</v>
      </c>
      <c r="H349" s="8">
        <f t="shared" si="28"/>
        <v>5</v>
      </c>
      <c r="I349" s="8">
        <f t="shared" si="28"/>
        <v>1</v>
      </c>
      <c r="J349" s="8">
        <f t="shared" si="29"/>
        <v>5</v>
      </c>
      <c r="K349" s="15">
        <v>2.0833333837799728E-4</v>
      </c>
      <c r="M349" s="8">
        <f t="shared" si="31"/>
        <v>444</v>
      </c>
      <c r="N349" s="9" t="s">
        <v>63</v>
      </c>
      <c r="O349" s="9" t="s">
        <v>16</v>
      </c>
      <c r="P349" s="9">
        <v>1376</v>
      </c>
      <c r="Q349" s="9">
        <v>425</v>
      </c>
      <c r="R349" s="8" t="s">
        <v>17</v>
      </c>
      <c r="S349" s="11">
        <v>78</v>
      </c>
      <c r="T349" s="10">
        <v>0.27</v>
      </c>
    </row>
    <row r="350" spans="1:20" x14ac:dyDescent="0.3">
      <c r="A350" s="7">
        <f t="shared" si="32"/>
        <v>345</v>
      </c>
      <c r="B350" s="8">
        <v>318</v>
      </c>
      <c r="C350" s="9" t="str">
        <f t="shared" si="30"/>
        <v>4450x85185fe3A4e36079818Ba1d12705A9B6898997040xa60AdD2af71a4f50b3F94509E71a1e9DbDeA5dDa1751420unidade2120027</v>
      </c>
      <c r="D350" s="13" t="s">
        <v>412</v>
      </c>
      <c r="E350" s="8" t="s">
        <v>1291</v>
      </c>
      <c r="F350" s="8">
        <f t="shared" si="28"/>
        <v>0</v>
      </c>
      <c r="G350" s="8">
        <f t="shared" si="28"/>
        <v>0</v>
      </c>
      <c r="H350" s="8">
        <f t="shared" si="28"/>
        <v>4</v>
      </c>
      <c r="I350" s="8">
        <f t="shared" si="28"/>
        <v>1</v>
      </c>
      <c r="J350" s="8">
        <f t="shared" si="29"/>
        <v>4</v>
      </c>
      <c r="K350" s="15">
        <v>8.1018515629693866E-5</v>
      </c>
      <c r="M350" s="8">
        <f t="shared" si="31"/>
        <v>445</v>
      </c>
      <c r="N350" s="9" t="s">
        <v>63</v>
      </c>
      <c r="O350" s="9" t="s">
        <v>16</v>
      </c>
      <c r="P350" s="9">
        <v>1751</v>
      </c>
      <c r="Q350" s="9">
        <v>420</v>
      </c>
      <c r="R350" s="8" t="s">
        <v>17</v>
      </c>
      <c r="S350" s="11">
        <v>212</v>
      </c>
      <c r="T350" s="10">
        <v>0.27</v>
      </c>
    </row>
    <row r="351" spans="1:20" x14ac:dyDescent="0.3">
      <c r="A351" s="7">
        <f t="shared" si="32"/>
        <v>346</v>
      </c>
      <c r="B351" s="8">
        <v>85</v>
      </c>
      <c r="C351" s="9" t="str">
        <f t="shared" si="30"/>
        <v>4460x85185fe3A4e36079818Ba1d12705A9B6898997040xa60AdD2af71a4f50b3F94509E71a1e9DbDeA5dDa1744482unidade1330027</v>
      </c>
      <c r="D351" s="13" t="s">
        <v>413</v>
      </c>
      <c r="E351" s="8" t="s">
        <v>1292</v>
      </c>
      <c r="F351" s="8">
        <f t="shared" si="28"/>
        <v>0</v>
      </c>
      <c r="G351" s="8">
        <f t="shared" si="28"/>
        <v>0</v>
      </c>
      <c r="H351" s="8">
        <f t="shared" si="28"/>
        <v>7</v>
      </c>
      <c r="I351" s="8">
        <f t="shared" si="28"/>
        <v>1</v>
      </c>
      <c r="J351" s="8">
        <f t="shared" si="29"/>
        <v>7</v>
      </c>
      <c r="K351" s="15">
        <v>2.314814628334716E-5</v>
      </c>
      <c r="M351" s="8">
        <f t="shared" si="31"/>
        <v>446</v>
      </c>
      <c r="N351" s="9" t="s">
        <v>63</v>
      </c>
      <c r="O351" s="9" t="s">
        <v>16</v>
      </c>
      <c r="P351" s="9">
        <v>1744</v>
      </c>
      <c r="Q351" s="9">
        <v>482</v>
      </c>
      <c r="R351" s="8" t="s">
        <v>17</v>
      </c>
      <c r="S351" s="11">
        <v>133</v>
      </c>
      <c r="T351" s="10">
        <v>0.27</v>
      </c>
    </row>
    <row r="352" spans="1:20" x14ac:dyDescent="0.3">
      <c r="A352" s="7">
        <f t="shared" si="32"/>
        <v>347</v>
      </c>
      <c r="B352" s="8">
        <v>115</v>
      </c>
      <c r="C352" s="9" t="str">
        <f t="shared" si="30"/>
        <v>4470x85185fe3A4e36079818Ba1d12705A9B6898997040xa60AdD2af71a4f50b3F94509E71a1e9DbDeA5dDa1464421unidade500027</v>
      </c>
      <c r="D352" s="13" t="s">
        <v>414</v>
      </c>
      <c r="E352" s="8" t="s">
        <v>1293</v>
      </c>
      <c r="F352" s="8">
        <f t="shared" si="28"/>
        <v>0</v>
      </c>
      <c r="G352" s="8">
        <f t="shared" si="28"/>
        <v>0</v>
      </c>
      <c r="H352" s="8">
        <f t="shared" si="28"/>
        <v>8</v>
      </c>
      <c r="I352" s="8">
        <f t="shared" si="28"/>
        <v>1</v>
      </c>
      <c r="J352" s="8">
        <f t="shared" si="29"/>
        <v>8</v>
      </c>
      <c r="K352" s="15">
        <v>3.4722223062999547E-5</v>
      </c>
      <c r="M352" s="8">
        <f t="shared" si="31"/>
        <v>447</v>
      </c>
      <c r="N352" s="9" t="s">
        <v>63</v>
      </c>
      <c r="O352" s="9" t="s">
        <v>16</v>
      </c>
      <c r="P352" s="9">
        <v>1464</v>
      </c>
      <c r="Q352" s="9">
        <v>421</v>
      </c>
      <c r="R352" s="8" t="s">
        <v>17</v>
      </c>
      <c r="S352" s="11">
        <v>50</v>
      </c>
      <c r="T352" s="10">
        <v>0.27</v>
      </c>
    </row>
    <row r="353" spans="1:20" x14ac:dyDescent="0.3">
      <c r="A353" s="7">
        <f t="shared" si="32"/>
        <v>348</v>
      </c>
      <c r="B353" s="8">
        <v>181</v>
      </c>
      <c r="C353" s="9" t="str">
        <f t="shared" si="30"/>
        <v>4480x85185fe3A4e36079818Ba1d12705A9B6898997040xa60AdD2af71a4f50b3F94509E71a1e9DbDeA5dDa1351244unidade1830027</v>
      </c>
      <c r="D353" s="13" t="s">
        <v>415</v>
      </c>
      <c r="E353" s="8" t="s">
        <v>815</v>
      </c>
      <c r="F353" s="8">
        <f t="shared" si="28"/>
        <v>0</v>
      </c>
      <c r="G353" s="8">
        <f t="shared" si="28"/>
        <v>0</v>
      </c>
      <c r="H353" s="8">
        <f t="shared" si="28"/>
        <v>0</v>
      </c>
      <c r="I353" s="8">
        <f t="shared" si="28"/>
        <v>1</v>
      </c>
      <c r="J353" s="8">
        <f t="shared" si="29"/>
        <v>0</v>
      </c>
      <c r="K353" s="15">
        <v>4.6296299842651933E-5</v>
      </c>
      <c r="M353" s="8">
        <f t="shared" si="31"/>
        <v>448</v>
      </c>
      <c r="N353" s="9" t="s">
        <v>63</v>
      </c>
      <c r="O353" s="9" t="s">
        <v>16</v>
      </c>
      <c r="P353" s="9">
        <v>1351</v>
      </c>
      <c r="Q353" s="9">
        <v>244</v>
      </c>
      <c r="R353" s="8" t="s">
        <v>17</v>
      </c>
      <c r="S353" s="11">
        <v>183</v>
      </c>
      <c r="T353" s="10">
        <v>0.27</v>
      </c>
    </row>
    <row r="354" spans="1:20" x14ac:dyDescent="0.3">
      <c r="A354" s="7">
        <f t="shared" si="32"/>
        <v>349</v>
      </c>
      <c r="B354" s="8">
        <v>414</v>
      </c>
      <c r="C354" s="9" t="str">
        <f t="shared" si="30"/>
        <v>4490x85185fe3A4e36079818Ba1d12705A9B6898997040xa60AdD2af71a4f50b3F94509E71a1e9DbDeA5dDa1417313unidade2200027</v>
      </c>
      <c r="D354" s="13" t="s">
        <v>416</v>
      </c>
      <c r="E354" s="8" t="s">
        <v>1294</v>
      </c>
      <c r="F354" s="8">
        <f t="shared" si="28"/>
        <v>0</v>
      </c>
      <c r="G354" s="8">
        <f t="shared" si="28"/>
        <v>0</v>
      </c>
      <c r="H354" s="8">
        <f t="shared" si="28"/>
        <v>1</v>
      </c>
      <c r="I354" s="8">
        <f t="shared" si="28"/>
        <v>1</v>
      </c>
      <c r="J354" s="8">
        <f t="shared" si="29"/>
        <v>1</v>
      </c>
      <c r="K354" s="15">
        <v>1.0416666191304103E-4</v>
      </c>
      <c r="M354" s="8">
        <f t="shared" si="31"/>
        <v>449</v>
      </c>
      <c r="N354" s="9" t="s">
        <v>63</v>
      </c>
      <c r="O354" s="9" t="s">
        <v>16</v>
      </c>
      <c r="P354" s="9">
        <v>1417</v>
      </c>
      <c r="Q354" s="9">
        <v>313</v>
      </c>
      <c r="R354" s="8" t="s">
        <v>17</v>
      </c>
      <c r="S354" s="11">
        <v>220</v>
      </c>
      <c r="T354" s="10">
        <v>0.27</v>
      </c>
    </row>
    <row r="355" spans="1:20" x14ac:dyDescent="0.3">
      <c r="A355" s="7">
        <f t="shared" si="32"/>
        <v>350</v>
      </c>
      <c r="B355" s="8">
        <v>55</v>
      </c>
      <c r="C355" s="9" t="str">
        <f t="shared" si="30"/>
        <v>4500x85185fe3A4e36079818Ba1d12705A9B6898997040xa60AdD2af71a4f50b3F94509E71a1e9DbDeA5dDa1064182unidade680027</v>
      </c>
      <c r="D355" s="13" t="s">
        <v>417</v>
      </c>
      <c r="E355" s="8" t="s">
        <v>1295</v>
      </c>
      <c r="F355" s="8">
        <f t="shared" si="28"/>
        <v>0</v>
      </c>
      <c r="G355" s="8">
        <f t="shared" si="28"/>
        <v>0</v>
      </c>
      <c r="H355" s="8">
        <f t="shared" si="28"/>
        <v>8</v>
      </c>
      <c r="I355" s="8">
        <f t="shared" si="28"/>
        <v>1</v>
      </c>
      <c r="J355" s="8">
        <f t="shared" si="29"/>
        <v>8</v>
      </c>
      <c r="K355" s="15">
        <v>1.1574076779652387E-5</v>
      </c>
      <c r="M355" s="8">
        <f t="shared" si="31"/>
        <v>450</v>
      </c>
      <c r="N355" s="9" t="s">
        <v>63</v>
      </c>
      <c r="O355" s="9" t="s">
        <v>16</v>
      </c>
      <c r="P355" s="9">
        <v>1064</v>
      </c>
      <c r="Q355" s="9">
        <v>182</v>
      </c>
      <c r="R355" s="8" t="s">
        <v>17</v>
      </c>
      <c r="S355" s="11">
        <v>68</v>
      </c>
      <c r="T355" s="10">
        <v>0.27</v>
      </c>
    </row>
    <row r="356" spans="1:20" x14ac:dyDescent="0.3">
      <c r="A356" s="7">
        <f t="shared" si="32"/>
        <v>351</v>
      </c>
      <c r="B356" s="8">
        <v>81</v>
      </c>
      <c r="C356" s="9" t="str">
        <f t="shared" si="30"/>
        <v>4510x85185fe3A4e36079818Ba1d12705A9B6898997040xa60AdD2af71a4f50b3F94509E71a1e9DbDeA5dDa1090289unidade1720027</v>
      </c>
      <c r="D356" s="13" t="s">
        <v>418</v>
      </c>
      <c r="E356" s="8" t="s">
        <v>1296</v>
      </c>
      <c r="F356" s="8">
        <f t="shared" si="28"/>
        <v>0</v>
      </c>
      <c r="G356" s="8">
        <f t="shared" si="28"/>
        <v>0</v>
      </c>
      <c r="H356" s="8">
        <f t="shared" si="28"/>
        <v>1</v>
      </c>
      <c r="I356" s="8">
        <f t="shared" si="28"/>
        <v>1</v>
      </c>
      <c r="J356" s="8">
        <f t="shared" si="29"/>
        <v>1</v>
      </c>
      <c r="K356" s="15">
        <v>2.314814628334716E-5</v>
      </c>
      <c r="M356" s="8">
        <f t="shared" si="31"/>
        <v>451</v>
      </c>
      <c r="N356" s="9" t="s">
        <v>63</v>
      </c>
      <c r="O356" s="9" t="s">
        <v>16</v>
      </c>
      <c r="P356" s="9">
        <v>1090</v>
      </c>
      <c r="Q356" s="9">
        <v>289</v>
      </c>
      <c r="R356" s="8" t="s">
        <v>17</v>
      </c>
      <c r="S356" s="11">
        <v>172</v>
      </c>
      <c r="T356" s="10">
        <v>0.27</v>
      </c>
    </row>
    <row r="357" spans="1:20" x14ac:dyDescent="0.3">
      <c r="A357" s="7">
        <f t="shared" si="32"/>
        <v>352</v>
      </c>
      <c r="B357" s="8">
        <v>373</v>
      </c>
      <c r="C357" s="9" t="str">
        <f t="shared" si="30"/>
        <v>4520x85185fe3A4e36079818Ba1d12705A9B6898997040xa60AdD2af71a4f50b3F94509E71a1e9DbDeA5dDa1696304unidade640027</v>
      </c>
      <c r="D357" s="13" t="s">
        <v>419</v>
      </c>
      <c r="E357" s="8" t="s">
        <v>1297</v>
      </c>
      <c r="F357" s="8">
        <f t="shared" si="28"/>
        <v>0</v>
      </c>
      <c r="G357" s="8">
        <f t="shared" si="28"/>
        <v>0</v>
      </c>
      <c r="H357" s="8">
        <f t="shared" si="28"/>
        <v>2</v>
      </c>
      <c r="I357" s="8">
        <f t="shared" si="28"/>
        <v>0</v>
      </c>
      <c r="J357" s="8">
        <f t="shared" si="29"/>
        <v>2</v>
      </c>
      <c r="K357" s="15">
        <v>1.0416666918899864E-4</v>
      </c>
      <c r="M357" s="8">
        <f t="shared" si="31"/>
        <v>452</v>
      </c>
      <c r="N357" s="9" t="s">
        <v>63</v>
      </c>
      <c r="O357" s="9" t="s">
        <v>16</v>
      </c>
      <c r="P357" s="9">
        <v>1696</v>
      </c>
      <c r="Q357" s="9">
        <v>304</v>
      </c>
      <c r="R357" s="8" t="s">
        <v>17</v>
      </c>
      <c r="S357" s="11">
        <v>64</v>
      </c>
      <c r="T357" s="10">
        <v>0.27</v>
      </c>
    </row>
    <row r="358" spans="1:20" x14ac:dyDescent="0.3">
      <c r="A358" s="7">
        <f t="shared" si="32"/>
        <v>353</v>
      </c>
      <c r="B358" s="8">
        <v>409</v>
      </c>
      <c r="C358" s="9" t="str">
        <f t="shared" si="30"/>
        <v>4530x85185fe3A4e36079818Ba1d12705A9B6898997040xa60AdD2af71a4f50b3F94509E71a1e9DbDeA5dDa1368362unidade2210027</v>
      </c>
      <c r="D358" s="13" t="s">
        <v>420</v>
      </c>
      <c r="E358" s="8" t="s">
        <v>820</v>
      </c>
      <c r="F358" s="8">
        <f t="shared" si="28"/>
        <v>0</v>
      </c>
      <c r="G358" s="8">
        <f t="shared" si="28"/>
        <v>0</v>
      </c>
      <c r="H358" s="8">
        <f t="shared" si="28"/>
        <v>0</v>
      </c>
      <c r="I358" s="8">
        <f t="shared" si="28"/>
        <v>1</v>
      </c>
      <c r="J358" s="8">
        <f t="shared" si="29"/>
        <v>0</v>
      </c>
      <c r="K358" s="15">
        <v>1.0416666918899864E-4</v>
      </c>
      <c r="M358" s="8">
        <f t="shared" si="31"/>
        <v>453</v>
      </c>
      <c r="N358" s="9" t="s">
        <v>63</v>
      </c>
      <c r="O358" s="9" t="s">
        <v>16</v>
      </c>
      <c r="P358" s="9">
        <v>1368</v>
      </c>
      <c r="Q358" s="9">
        <v>362</v>
      </c>
      <c r="R358" s="8" t="s">
        <v>17</v>
      </c>
      <c r="S358" s="11">
        <v>221</v>
      </c>
      <c r="T358" s="10">
        <v>0.27</v>
      </c>
    </row>
    <row r="359" spans="1:20" x14ac:dyDescent="0.3">
      <c r="A359" s="7">
        <f t="shared" si="32"/>
        <v>354</v>
      </c>
      <c r="B359" s="8">
        <v>363</v>
      </c>
      <c r="C359" s="9" t="str">
        <f t="shared" si="30"/>
        <v>4540x85185fe3A4e36079818Ba1d12705A9B6898997040xa60AdD2af71a4f50b3F94509E71a1e9DbDeA5dDa1767250unidade1810027</v>
      </c>
      <c r="D359" s="13" t="s">
        <v>421</v>
      </c>
      <c r="E359" s="8" t="s">
        <v>1298</v>
      </c>
      <c r="F359" s="8">
        <f t="shared" si="28"/>
        <v>0</v>
      </c>
      <c r="G359" s="8">
        <f t="shared" si="28"/>
        <v>0</v>
      </c>
      <c r="H359" s="8">
        <f t="shared" si="28"/>
        <v>1</v>
      </c>
      <c r="I359" s="8">
        <f t="shared" si="28"/>
        <v>1</v>
      </c>
      <c r="J359" s="8">
        <f t="shared" si="29"/>
        <v>1</v>
      </c>
      <c r="K359" s="15">
        <v>9.2592592409346253E-5</v>
      </c>
      <c r="M359" s="8">
        <f t="shared" si="31"/>
        <v>454</v>
      </c>
      <c r="N359" s="9" t="s">
        <v>63</v>
      </c>
      <c r="O359" s="9" t="s">
        <v>16</v>
      </c>
      <c r="P359" s="9">
        <v>1767</v>
      </c>
      <c r="Q359" s="9">
        <v>250</v>
      </c>
      <c r="R359" s="8" t="s">
        <v>17</v>
      </c>
      <c r="S359" s="11">
        <v>181</v>
      </c>
      <c r="T359" s="10">
        <v>0.27</v>
      </c>
    </row>
    <row r="360" spans="1:20" x14ac:dyDescent="0.3">
      <c r="A360" s="7">
        <f t="shared" si="32"/>
        <v>355</v>
      </c>
      <c r="B360" s="8">
        <v>619</v>
      </c>
      <c r="C360" s="9" t="str">
        <f t="shared" si="30"/>
        <v>4550x85185fe3A4e36079818Ba1d12705A9B6898997040xa60AdD2af71a4f50b3F94509E71a1e9DbDeA5dDa1420104unidade1770027</v>
      </c>
      <c r="D360" s="13" t="s">
        <v>422</v>
      </c>
      <c r="E360" s="8" t="s">
        <v>1299</v>
      </c>
      <c r="F360" s="8">
        <f t="shared" si="28"/>
        <v>0</v>
      </c>
      <c r="G360" s="8">
        <f t="shared" si="28"/>
        <v>0</v>
      </c>
      <c r="H360" s="8">
        <f t="shared" si="28"/>
        <v>1</v>
      </c>
      <c r="I360" s="8">
        <f t="shared" si="28"/>
        <v>0</v>
      </c>
      <c r="J360" s="8">
        <f t="shared" si="29"/>
        <v>1</v>
      </c>
      <c r="K360" s="15">
        <v>1.5046296175569296E-4</v>
      </c>
      <c r="M360" s="8">
        <f t="shared" si="31"/>
        <v>455</v>
      </c>
      <c r="N360" s="9" t="s">
        <v>63</v>
      </c>
      <c r="O360" s="9" t="s">
        <v>16</v>
      </c>
      <c r="P360" s="9">
        <v>1420</v>
      </c>
      <c r="Q360" s="9">
        <v>104</v>
      </c>
      <c r="R360" s="8" t="s">
        <v>17</v>
      </c>
      <c r="S360" s="11">
        <v>177</v>
      </c>
      <c r="T360" s="10">
        <v>0.27</v>
      </c>
    </row>
    <row r="361" spans="1:20" x14ac:dyDescent="0.3">
      <c r="A361" s="7">
        <f t="shared" si="32"/>
        <v>356</v>
      </c>
      <c r="B361" s="8">
        <v>815</v>
      </c>
      <c r="C361" s="9" t="str">
        <f t="shared" si="30"/>
        <v>4560x85185fe3A4e36079818Ba1d12705A9B6898997040xa60AdD2af71a4f50b3F94509E71a1e9DbDeA5dDa1867449unidade1480027</v>
      </c>
      <c r="D361" s="13" t="s">
        <v>423</v>
      </c>
      <c r="E361" s="8" t="s">
        <v>1300</v>
      </c>
      <c r="F361" s="8">
        <f t="shared" ref="F361:I407" si="33">IFERROR(VALUE(MID($E361,F$1,1)),1)</f>
        <v>0</v>
      </c>
      <c r="G361" s="8">
        <f t="shared" si="33"/>
        <v>0</v>
      </c>
      <c r="H361" s="8">
        <f t="shared" si="33"/>
        <v>2</v>
      </c>
      <c r="I361" s="8">
        <f t="shared" si="33"/>
        <v>1</v>
      </c>
      <c r="J361" s="8">
        <f t="shared" si="29"/>
        <v>2</v>
      </c>
      <c r="K361" s="15">
        <v>2.0833333110203966E-4</v>
      </c>
      <c r="M361" s="8">
        <f t="shared" si="31"/>
        <v>456</v>
      </c>
      <c r="N361" s="9" t="s">
        <v>63</v>
      </c>
      <c r="O361" s="9" t="s">
        <v>16</v>
      </c>
      <c r="P361" s="9">
        <v>1867</v>
      </c>
      <c r="Q361" s="9">
        <v>449</v>
      </c>
      <c r="R361" s="8" t="s">
        <v>17</v>
      </c>
      <c r="S361" s="11">
        <v>148</v>
      </c>
      <c r="T361" s="10">
        <v>0.27</v>
      </c>
    </row>
    <row r="362" spans="1:20" x14ac:dyDescent="0.3">
      <c r="A362" s="7">
        <f t="shared" si="32"/>
        <v>357</v>
      </c>
      <c r="B362" s="8">
        <v>38</v>
      </c>
      <c r="C362" s="9" t="str">
        <f t="shared" si="30"/>
        <v>4570x85185fe3A4e36079818Ba1d12705A9B6898997040xa60AdD2af71a4f50b3F94509E71a1e9DbDeA5dDa1897499unidade1040027</v>
      </c>
      <c r="D362" s="13" t="s">
        <v>424</v>
      </c>
      <c r="E362" s="8" t="s">
        <v>1301</v>
      </c>
      <c r="F362" s="8">
        <f t="shared" si="33"/>
        <v>0</v>
      </c>
      <c r="G362" s="8">
        <f t="shared" si="33"/>
        <v>0</v>
      </c>
      <c r="H362" s="8">
        <f t="shared" si="33"/>
        <v>8</v>
      </c>
      <c r="I362" s="8">
        <f t="shared" si="33"/>
        <v>2</v>
      </c>
      <c r="J362" s="8">
        <f t="shared" ref="J362:J425" si="34">SUM(F362:H362)</f>
        <v>8</v>
      </c>
      <c r="K362" s="15">
        <v>1.1574076779652387E-5</v>
      </c>
      <c r="M362" s="8">
        <f t="shared" si="31"/>
        <v>457</v>
      </c>
      <c r="N362" s="9" t="s">
        <v>63</v>
      </c>
      <c r="O362" s="9" t="s">
        <v>16</v>
      </c>
      <c r="P362" s="9">
        <v>1897</v>
      </c>
      <c r="Q362" s="9">
        <v>499</v>
      </c>
      <c r="R362" s="8" t="s">
        <v>17</v>
      </c>
      <c r="S362" s="11">
        <v>104</v>
      </c>
      <c r="T362" s="10">
        <v>0.27</v>
      </c>
    </row>
    <row r="363" spans="1:20" x14ac:dyDescent="0.3">
      <c r="A363" s="7">
        <f t="shared" si="32"/>
        <v>358</v>
      </c>
      <c r="B363" s="8">
        <v>68</v>
      </c>
      <c r="C363" s="9" t="str">
        <f t="shared" si="30"/>
        <v>4580x85185fe3A4e36079818Ba1d12705A9B6898997040xa60AdD2af71a4f50b3F94509E71a1e9DbDeA5dDa1158221unidade1850027</v>
      </c>
      <c r="D363" s="13" t="s">
        <v>425</v>
      </c>
      <c r="E363" s="8" t="s">
        <v>1302</v>
      </c>
      <c r="F363" s="8">
        <f t="shared" si="33"/>
        <v>0</v>
      </c>
      <c r="G363" s="8">
        <f t="shared" si="33"/>
        <v>0</v>
      </c>
      <c r="H363" s="8">
        <f t="shared" si="33"/>
        <v>1</v>
      </c>
      <c r="I363" s="8">
        <f t="shared" si="33"/>
        <v>1</v>
      </c>
      <c r="J363" s="8">
        <f t="shared" si="34"/>
        <v>1</v>
      </c>
      <c r="K363" s="15">
        <v>2.314814628334716E-5</v>
      </c>
      <c r="M363" s="8">
        <f t="shared" si="31"/>
        <v>458</v>
      </c>
      <c r="N363" s="9" t="s">
        <v>63</v>
      </c>
      <c r="O363" s="9" t="s">
        <v>16</v>
      </c>
      <c r="P363" s="9">
        <v>1158</v>
      </c>
      <c r="Q363" s="9">
        <v>221</v>
      </c>
      <c r="R363" s="8" t="s">
        <v>17</v>
      </c>
      <c r="S363" s="11">
        <v>185</v>
      </c>
      <c r="T363" s="10">
        <v>0.27</v>
      </c>
    </row>
    <row r="364" spans="1:20" x14ac:dyDescent="0.3">
      <c r="A364" s="7">
        <f t="shared" si="32"/>
        <v>359</v>
      </c>
      <c r="B364" s="8">
        <v>125</v>
      </c>
      <c r="C364" s="9" t="str">
        <f t="shared" si="30"/>
        <v>4590x85185fe3A4e36079818Ba1d12705A9B6898997040xa60AdD2af71a4f50b3F94509E71a1e9DbDeA5dDa1454494unidade2180027</v>
      </c>
      <c r="D364" s="13" t="s">
        <v>426</v>
      </c>
      <c r="E364" s="8" t="s">
        <v>1303</v>
      </c>
      <c r="F364" s="8">
        <f t="shared" si="33"/>
        <v>0</v>
      </c>
      <c r="G364" s="8">
        <f t="shared" si="33"/>
        <v>0</v>
      </c>
      <c r="H364" s="8">
        <f t="shared" si="33"/>
        <v>7</v>
      </c>
      <c r="I364" s="8">
        <f t="shared" si="33"/>
        <v>8</v>
      </c>
      <c r="J364" s="8">
        <f t="shared" si="34"/>
        <v>7</v>
      </c>
      <c r="K364" s="15">
        <v>3.4722223062999547E-5</v>
      </c>
      <c r="M364" s="8">
        <f t="shared" si="31"/>
        <v>459</v>
      </c>
      <c r="N364" s="9" t="s">
        <v>63</v>
      </c>
      <c r="O364" s="9" t="s">
        <v>16</v>
      </c>
      <c r="P364" s="9">
        <v>1454</v>
      </c>
      <c r="Q364" s="9">
        <v>494</v>
      </c>
      <c r="R364" s="8" t="s">
        <v>17</v>
      </c>
      <c r="S364" s="11">
        <v>218</v>
      </c>
      <c r="T364" s="10">
        <v>0.27</v>
      </c>
    </row>
    <row r="365" spans="1:20" x14ac:dyDescent="0.3">
      <c r="A365" s="7">
        <f t="shared" si="32"/>
        <v>360</v>
      </c>
      <c r="B365" s="8">
        <v>155</v>
      </c>
      <c r="C365" s="9" t="str">
        <f t="shared" si="30"/>
        <v>4600x85185fe3A4e36079818Ba1d12705A9B6898997040xa60AdD2af71a4f50b3F94509E71a1e9DbDeA5dDa1273461unidade820027</v>
      </c>
      <c r="D365" s="13" t="s">
        <v>427</v>
      </c>
      <c r="E365" s="8" t="s">
        <v>1304</v>
      </c>
      <c r="F365" s="8">
        <f t="shared" si="33"/>
        <v>0</v>
      </c>
      <c r="G365" s="8">
        <f t="shared" si="33"/>
        <v>0</v>
      </c>
      <c r="H365" s="8">
        <f t="shared" si="33"/>
        <v>1</v>
      </c>
      <c r="I365" s="8">
        <f t="shared" si="33"/>
        <v>4</v>
      </c>
      <c r="J365" s="8">
        <f t="shared" si="34"/>
        <v>1</v>
      </c>
      <c r="K365" s="15">
        <v>3.4722223062999547E-5</v>
      </c>
      <c r="M365" s="8">
        <f t="shared" si="31"/>
        <v>460</v>
      </c>
      <c r="N365" s="9" t="s">
        <v>63</v>
      </c>
      <c r="O365" s="9" t="s">
        <v>16</v>
      </c>
      <c r="P365" s="9">
        <v>1273</v>
      </c>
      <c r="Q365" s="9">
        <v>461</v>
      </c>
      <c r="R365" s="8" t="s">
        <v>17</v>
      </c>
      <c r="S365" s="11">
        <v>82</v>
      </c>
      <c r="T365" s="10">
        <v>0.27</v>
      </c>
    </row>
    <row r="366" spans="1:20" x14ac:dyDescent="0.3">
      <c r="A366" s="7">
        <f t="shared" si="32"/>
        <v>361</v>
      </c>
      <c r="B366" s="8">
        <v>163</v>
      </c>
      <c r="C366" s="9" t="str">
        <f t="shared" si="30"/>
        <v>4610x85185fe3A4e36079818Ba1d12705A9B6898997040xa60AdD2af71a4f50b3F94509E71a1e9DbDeA5dDa1446496unidade1880027</v>
      </c>
      <c r="D366" s="13" t="s">
        <v>428</v>
      </c>
      <c r="E366" s="8" t="s">
        <v>1305</v>
      </c>
      <c r="F366" s="8">
        <f t="shared" si="33"/>
        <v>0</v>
      </c>
      <c r="G366" s="8">
        <f t="shared" si="33"/>
        <v>0</v>
      </c>
      <c r="H366" s="8">
        <f t="shared" si="33"/>
        <v>3</v>
      </c>
      <c r="I366" s="8">
        <f t="shared" si="33"/>
        <v>6</v>
      </c>
      <c r="J366" s="8">
        <f t="shared" si="34"/>
        <v>3</v>
      </c>
      <c r="K366" s="15">
        <v>4.6296292566694319E-5</v>
      </c>
      <c r="M366" s="8">
        <f t="shared" si="31"/>
        <v>461</v>
      </c>
      <c r="N366" s="9" t="s">
        <v>63</v>
      </c>
      <c r="O366" s="9" t="s">
        <v>16</v>
      </c>
      <c r="P366" s="9">
        <v>1446</v>
      </c>
      <c r="Q366" s="9">
        <v>496</v>
      </c>
      <c r="R366" s="8" t="s">
        <v>17</v>
      </c>
      <c r="S366" s="11">
        <v>188</v>
      </c>
      <c r="T366" s="10">
        <v>0.27</v>
      </c>
    </row>
    <row r="367" spans="1:20" x14ac:dyDescent="0.3">
      <c r="A367" s="7">
        <f t="shared" si="32"/>
        <v>362</v>
      </c>
      <c r="B367" s="8">
        <v>86</v>
      </c>
      <c r="C367" s="9" t="str">
        <f t="shared" si="30"/>
        <v>4620x85185fe3A4e36079818Ba1d12705A9B6898997040xa60AdD2af71a4f50b3F94509E71a1e9DbDeA5dDa1763489unidade2240027</v>
      </c>
      <c r="D367" s="13" t="s">
        <v>429</v>
      </c>
      <c r="E367" s="8" t="s">
        <v>1306</v>
      </c>
      <c r="F367" s="8">
        <f t="shared" si="33"/>
        <v>0</v>
      </c>
      <c r="G367" s="8">
        <f t="shared" si="33"/>
        <v>0</v>
      </c>
      <c r="H367" s="8">
        <f t="shared" si="33"/>
        <v>2</v>
      </c>
      <c r="I367" s="8">
        <f t="shared" si="33"/>
        <v>4</v>
      </c>
      <c r="J367" s="8">
        <f t="shared" si="34"/>
        <v>2</v>
      </c>
      <c r="K367" s="15">
        <v>2.314814628334716E-5</v>
      </c>
      <c r="M367" s="8">
        <f t="shared" si="31"/>
        <v>462</v>
      </c>
      <c r="N367" s="9" t="s">
        <v>63</v>
      </c>
      <c r="O367" s="9" t="s">
        <v>16</v>
      </c>
      <c r="P367" s="9">
        <v>1763</v>
      </c>
      <c r="Q367" s="9">
        <v>489</v>
      </c>
      <c r="R367" s="8" t="s">
        <v>17</v>
      </c>
      <c r="S367" s="11">
        <v>224</v>
      </c>
      <c r="T367" s="10">
        <v>0.27</v>
      </c>
    </row>
    <row r="368" spans="1:20" x14ac:dyDescent="0.3">
      <c r="A368" s="7">
        <f t="shared" si="32"/>
        <v>363</v>
      </c>
      <c r="B368" s="8">
        <v>301</v>
      </c>
      <c r="C368" s="9" t="str">
        <f t="shared" si="30"/>
        <v>4630x85185fe3A4e36079818Ba1d12705A9B6898997040xa60AdD2af71a4f50b3F94509E71a1e9DbDeA5dDa1524470unidade2140027</v>
      </c>
      <c r="D368" s="13" t="s">
        <v>430</v>
      </c>
      <c r="E368" s="8" t="s">
        <v>1307</v>
      </c>
      <c r="F368" s="8">
        <f t="shared" si="33"/>
        <v>0</v>
      </c>
      <c r="G368" s="8">
        <f t="shared" si="33"/>
        <v>0</v>
      </c>
      <c r="H368" s="8">
        <f t="shared" si="33"/>
        <v>1</v>
      </c>
      <c r="I368" s="8">
        <f t="shared" si="33"/>
        <v>1</v>
      </c>
      <c r="J368" s="8">
        <f t="shared" si="34"/>
        <v>1</v>
      </c>
      <c r="K368" s="15">
        <v>8.101852290565148E-5</v>
      </c>
      <c r="M368" s="8">
        <f t="shared" si="31"/>
        <v>463</v>
      </c>
      <c r="N368" s="9" t="s">
        <v>63</v>
      </c>
      <c r="O368" s="9" t="s">
        <v>16</v>
      </c>
      <c r="P368" s="9">
        <v>1524</v>
      </c>
      <c r="Q368" s="9">
        <v>470</v>
      </c>
      <c r="R368" s="8" t="s">
        <v>17</v>
      </c>
      <c r="S368" s="11">
        <v>214</v>
      </c>
      <c r="T368" s="10">
        <v>0.27</v>
      </c>
    </row>
    <row r="369" spans="1:20" x14ac:dyDescent="0.3">
      <c r="A369" s="7">
        <f t="shared" si="32"/>
        <v>364</v>
      </c>
      <c r="B369" s="8">
        <v>215</v>
      </c>
      <c r="C369" s="9" t="str">
        <f t="shared" si="30"/>
        <v>4640x85185fe3A4e36079818Ba1d12705A9B6898997040xa60AdD2af71a4f50b3F94509E71a1e9DbDeA5dDa1443380unidade1510027</v>
      </c>
      <c r="D369" s="13" t="s">
        <v>431</v>
      </c>
      <c r="E369" s="8" t="s">
        <v>1308</v>
      </c>
      <c r="F369" s="8">
        <f t="shared" si="33"/>
        <v>0</v>
      </c>
      <c r="G369" s="8">
        <f t="shared" si="33"/>
        <v>0</v>
      </c>
      <c r="H369" s="8">
        <f t="shared" si="33"/>
        <v>2</v>
      </c>
      <c r="I369" s="8">
        <f t="shared" si="33"/>
        <v>3</v>
      </c>
      <c r="J369" s="8">
        <f t="shared" si="34"/>
        <v>2</v>
      </c>
      <c r="K369" s="15">
        <v>5.7870369346346706E-5</v>
      </c>
      <c r="M369" s="8">
        <f t="shared" si="31"/>
        <v>464</v>
      </c>
      <c r="N369" s="9" t="s">
        <v>63</v>
      </c>
      <c r="O369" s="9" t="s">
        <v>16</v>
      </c>
      <c r="P369" s="9">
        <v>1443</v>
      </c>
      <c r="Q369" s="9">
        <v>380</v>
      </c>
      <c r="R369" s="8" t="s">
        <v>17</v>
      </c>
      <c r="S369" s="11">
        <v>151</v>
      </c>
      <c r="T369" s="10">
        <v>0.27</v>
      </c>
    </row>
    <row r="370" spans="1:20" x14ac:dyDescent="0.3">
      <c r="A370" s="7">
        <f t="shared" si="32"/>
        <v>365</v>
      </c>
      <c r="B370" s="8">
        <v>26</v>
      </c>
      <c r="C370" s="9" t="str">
        <f t="shared" si="30"/>
        <v>4650x85185fe3A4e36079818Ba1d12705A9B6898997040xa60AdD2af71a4f50b3F94509E71a1e9DbDeA5dDa1086283unidade2200027</v>
      </c>
      <c r="D370" s="13" t="s">
        <v>432</v>
      </c>
      <c r="E370" s="8" t="s">
        <v>1309</v>
      </c>
      <c r="F370" s="8">
        <f t="shared" si="33"/>
        <v>0</v>
      </c>
      <c r="G370" s="8">
        <f t="shared" si="33"/>
        <v>0</v>
      </c>
      <c r="H370" s="8">
        <f t="shared" si="33"/>
        <v>2</v>
      </c>
      <c r="I370" s="8">
        <f t="shared" si="33"/>
        <v>9</v>
      </c>
      <c r="J370" s="8">
        <f t="shared" si="34"/>
        <v>2</v>
      </c>
      <c r="K370" s="15">
        <v>0</v>
      </c>
      <c r="M370" s="8">
        <f t="shared" si="31"/>
        <v>465</v>
      </c>
      <c r="N370" s="9" t="s">
        <v>63</v>
      </c>
      <c r="O370" s="9" t="s">
        <v>16</v>
      </c>
      <c r="P370" s="9">
        <v>1086</v>
      </c>
      <c r="Q370" s="9">
        <v>283</v>
      </c>
      <c r="R370" s="8" t="s">
        <v>17</v>
      </c>
      <c r="S370" s="11">
        <v>220</v>
      </c>
      <c r="T370" s="10">
        <v>0.27</v>
      </c>
    </row>
    <row r="371" spans="1:20" x14ac:dyDescent="0.3">
      <c r="A371" s="7">
        <f t="shared" si="32"/>
        <v>366</v>
      </c>
      <c r="B371" s="8">
        <v>548</v>
      </c>
      <c r="C371" s="9" t="str">
        <f t="shared" si="30"/>
        <v>4660x85185fe3A4e36079818Ba1d12705A9B6898997040xa60AdD2af71a4f50b3F94509E71a1e9DbDeA5dDa1959173unidade2090027</v>
      </c>
      <c r="D371" s="13" t="s">
        <v>433</v>
      </c>
      <c r="E371" s="8" t="s">
        <v>1310</v>
      </c>
      <c r="F371" s="8">
        <f t="shared" si="33"/>
        <v>0</v>
      </c>
      <c r="G371" s="8">
        <f t="shared" si="33"/>
        <v>0</v>
      </c>
      <c r="H371" s="8">
        <f t="shared" si="33"/>
        <v>1</v>
      </c>
      <c r="I371" s="8">
        <f t="shared" si="33"/>
        <v>2</v>
      </c>
      <c r="J371" s="8">
        <f t="shared" si="34"/>
        <v>1</v>
      </c>
      <c r="K371" s="15">
        <v>1.3888888497604057E-4</v>
      </c>
      <c r="M371" s="8">
        <f t="shared" si="31"/>
        <v>466</v>
      </c>
      <c r="N371" s="9" t="s">
        <v>63</v>
      </c>
      <c r="O371" s="9" t="s">
        <v>16</v>
      </c>
      <c r="P371" s="9">
        <v>1959</v>
      </c>
      <c r="Q371" s="9">
        <v>173</v>
      </c>
      <c r="R371" s="8" t="s">
        <v>17</v>
      </c>
      <c r="S371" s="11">
        <v>209</v>
      </c>
      <c r="T371" s="10">
        <v>0.27</v>
      </c>
    </row>
    <row r="372" spans="1:20" x14ac:dyDescent="0.3">
      <c r="A372" s="7">
        <f t="shared" si="32"/>
        <v>367</v>
      </c>
      <c r="B372" s="8">
        <v>119</v>
      </c>
      <c r="C372" s="9" t="str">
        <f t="shared" si="30"/>
        <v>4670x85185fe3A4e36079818Ba1d12705A9B6898997040xa60AdD2af71a4f50b3F94509E71a1e9DbDeA5dDa1084280unidade1320027</v>
      </c>
      <c r="D372" s="13" t="s">
        <v>434</v>
      </c>
      <c r="E372" s="8" t="s">
        <v>1311</v>
      </c>
      <c r="F372" s="8">
        <f t="shared" si="33"/>
        <v>0</v>
      </c>
      <c r="G372" s="8">
        <f t="shared" si="33"/>
        <v>0</v>
      </c>
      <c r="H372" s="8">
        <f t="shared" si="33"/>
        <v>1</v>
      </c>
      <c r="I372" s="8">
        <f t="shared" si="33"/>
        <v>3</v>
      </c>
      <c r="J372" s="8">
        <f t="shared" si="34"/>
        <v>1</v>
      </c>
      <c r="K372" s="15">
        <v>4.6296299842651933E-5</v>
      </c>
      <c r="M372" s="8">
        <f t="shared" si="31"/>
        <v>467</v>
      </c>
      <c r="N372" s="9" t="s">
        <v>63</v>
      </c>
      <c r="O372" s="9" t="s">
        <v>16</v>
      </c>
      <c r="P372" s="9">
        <v>1084</v>
      </c>
      <c r="Q372" s="9">
        <v>280</v>
      </c>
      <c r="R372" s="8" t="s">
        <v>17</v>
      </c>
      <c r="S372" s="11">
        <v>132</v>
      </c>
      <c r="T372" s="10">
        <v>0.27</v>
      </c>
    </row>
    <row r="373" spans="1:20" x14ac:dyDescent="0.3">
      <c r="A373" s="7">
        <f t="shared" si="32"/>
        <v>368</v>
      </c>
      <c r="B373" s="8">
        <v>8</v>
      </c>
      <c r="C373" s="9" t="str">
        <f t="shared" si="30"/>
        <v>4680x85185fe3A4e36079818Ba1d12705A9B6898997040xa60AdD2af71a4f50b3F94509E71a1e9DbDeA5dDa1902377unidade1190027</v>
      </c>
      <c r="D373" s="13" t="s">
        <v>435</v>
      </c>
      <c r="E373" s="8" t="s">
        <v>1312</v>
      </c>
      <c r="F373" s="8">
        <f t="shared" si="33"/>
        <v>0</v>
      </c>
      <c r="G373" s="8">
        <f t="shared" si="33"/>
        <v>0</v>
      </c>
      <c r="H373" s="8">
        <f t="shared" si="33"/>
        <v>1</v>
      </c>
      <c r="I373" s="8">
        <f t="shared" si="33"/>
        <v>3</v>
      </c>
      <c r="J373" s="8">
        <f t="shared" si="34"/>
        <v>1</v>
      </c>
      <c r="K373" s="15">
        <v>0</v>
      </c>
      <c r="M373" s="8">
        <f t="shared" si="31"/>
        <v>468</v>
      </c>
      <c r="N373" s="9" t="s">
        <v>63</v>
      </c>
      <c r="O373" s="9" t="s">
        <v>16</v>
      </c>
      <c r="P373" s="9">
        <v>1902</v>
      </c>
      <c r="Q373" s="9">
        <v>377</v>
      </c>
      <c r="R373" s="8" t="s">
        <v>17</v>
      </c>
      <c r="S373" s="11">
        <v>119</v>
      </c>
      <c r="T373" s="10">
        <v>0.27</v>
      </c>
    </row>
    <row r="374" spans="1:20" x14ac:dyDescent="0.3">
      <c r="A374" s="7">
        <f t="shared" si="32"/>
        <v>369</v>
      </c>
      <c r="B374" s="8">
        <v>0</v>
      </c>
      <c r="C374" s="9" t="str">
        <f t="shared" si="30"/>
        <v>4690x85185fe3A4e36079818Ba1d12705A9B6898997040xa60AdD2af71a4f50b3F94509E71a1e9DbDeA5dDa1376158unidade1030027</v>
      </c>
      <c r="D374" s="13" t="s">
        <v>436</v>
      </c>
      <c r="E374" s="8" t="s">
        <v>1313</v>
      </c>
      <c r="F374" s="8">
        <f t="shared" si="33"/>
        <v>0</v>
      </c>
      <c r="G374" s="8">
        <f t="shared" si="33"/>
        <v>0</v>
      </c>
      <c r="H374" s="8">
        <f t="shared" si="33"/>
        <v>3</v>
      </c>
      <c r="I374" s="8">
        <f t="shared" si="33"/>
        <v>8</v>
      </c>
      <c r="J374" s="8">
        <f t="shared" si="34"/>
        <v>3</v>
      </c>
      <c r="K374" s="15">
        <v>0</v>
      </c>
      <c r="M374" s="8">
        <f t="shared" si="31"/>
        <v>469</v>
      </c>
      <c r="N374" s="9" t="s">
        <v>63</v>
      </c>
      <c r="O374" s="9" t="s">
        <v>16</v>
      </c>
      <c r="P374" s="9">
        <v>1376</v>
      </c>
      <c r="Q374" s="9">
        <v>158</v>
      </c>
      <c r="R374" s="8" t="s">
        <v>17</v>
      </c>
      <c r="S374" s="11">
        <v>103</v>
      </c>
      <c r="T374" s="10">
        <v>0.27</v>
      </c>
    </row>
    <row r="375" spans="1:20" x14ac:dyDescent="0.3">
      <c r="A375" s="7">
        <f t="shared" si="32"/>
        <v>370</v>
      </c>
      <c r="B375" s="8">
        <v>138</v>
      </c>
      <c r="C375" s="9" t="str">
        <f t="shared" si="30"/>
        <v>4700x85185fe3A4e36079818Ba1d12705A9B6898997040xa60AdD2af71a4f50b3F94509E71a1e9DbDeA5dDa1122353unidade1850027</v>
      </c>
      <c r="D375" s="13" t="s">
        <v>437</v>
      </c>
      <c r="E375" s="8" t="s">
        <v>1314</v>
      </c>
      <c r="F375" s="8">
        <f t="shared" si="33"/>
        <v>0</v>
      </c>
      <c r="G375" s="8">
        <f t="shared" si="33"/>
        <v>0</v>
      </c>
      <c r="H375" s="8">
        <f t="shared" si="33"/>
        <v>7</v>
      </c>
      <c r="I375" s="8">
        <f t="shared" si="33"/>
        <v>1</v>
      </c>
      <c r="J375" s="8">
        <f t="shared" si="34"/>
        <v>7</v>
      </c>
      <c r="K375" s="15">
        <v>5.7870369346346706E-5</v>
      </c>
      <c r="M375" s="8">
        <f t="shared" si="31"/>
        <v>470</v>
      </c>
      <c r="N375" s="9" t="s">
        <v>63</v>
      </c>
      <c r="O375" s="9" t="s">
        <v>16</v>
      </c>
      <c r="P375" s="9">
        <v>1122</v>
      </c>
      <c r="Q375" s="9">
        <v>353</v>
      </c>
      <c r="R375" s="8" t="s">
        <v>17</v>
      </c>
      <c r="S375" s="11">
        <v>185</v>
      </c>
      <c r="T375" s="10">
        <v>0.27</v>
      </c>
    </row>
    <row r="376" spans="1:20" x14ac:dyDescent="0.3">
      <c r="A376" s="7">
        <f t="shared" si="32"/>
        <v>371</v>
      </c>
      <c r="B376" s="8">
        <v>252</v>
      </c>
      <c r="C376" s="9" t="str">
        <f t="shared" si="30"/>
        <v>4710x85185fe3A4e36079818Ba1d12705A9B6898997040xa60AdD2af71a4f50b3F94509E71a1e9DbDeA5dDa1307485unidade680027</v>
      </c>
      <c r="D376" s="13" t="s">
        <v>438</v>
      </c>
      <c r="E376" s="8" t="s">
        <v>1315</v>
      </c>
      <c r="F376" s="8">
        <f t="shared" si="33"/>
        <v>0</v>
      </c>
      <c r="G376" s="8">
        <f t="shared" si="33"/>
        <v>0</v>
      </c>
      <c r="H376" s="8">
        <f t="shared" si="33"/>
        <v>1</v>
      </c>
      <c r="I376" s="8">
        <f t="shared" si="33"/>
        <v>1</v>
      </c>
      <c r="J376" s="8">
        <f t="shared" si="34"/>
        <v>1</v>
      </c>
      <c r="K376" s="15">
        <v>8.1018515629693866E-5</v>
      </c>
      <c r="M376" s="8">
        <f t="shared" si="31"/>
        <v>471</v>
      </c>
      <c r="N376" s="9" t="s">
        <v>63</v>
      </c>
      <c r="O376" s="9" t="s">
        <v>16</v>
      </c>
      <c r="P376" s="9">
        <v>1307</v>
      </c>
      <c r="Q376" s="9">
        <v>485</v>
      </c>
      <c r="R376" s="8" t="s">
        <v>17</v>
      </c>
      <c r="S376" s="11">
        <v>68</v>
      </c>
      <c r="T376" s="10">
        <v>0.27</v>
      </c>
    </row>
    <row r="377" spans="1:20" x14ac:dyDescent="0.3">
      <c r="A377" s="7">
        <f t="shared" si="32"/>
        <v>372</v>
      </c>
      <c r="B377" s="8">
        <v>127</v>
      </c>
      <c r="C377" s="9" t="str">
        <f t="shared" si="30"/>
        <v>4720x85185fe3A4e36079818Ba1d12705A9B6898997040xa60AdD2af71a4f50b3F94509E71a1e9DbDeA5dDa1918224unidade1060027</v>
      </c>
      <c r="D377" s="13" t="s">
        <v>439</v>
      </c>
      <c r="E377" s="8" t="s">
        <v>1316</v>
      </c>
      <c r="F377" s="8">
        <f t="shared" si="33"/>
        <v>0</v>
      </c>
      <c r="G377" s="8">
        <f t="shared" si="33"/>
        <v>0</v>
      </c>
      <c r="H377" s="8">
        <f t="shared" si="33"/>
        <v>1</v>
      </c>
      <c r="I377" s="8">
        <f t="shared" si="33"/>
        <v>7</v>
      </c>
      <c r="J377" s="8">
        <f t="shared" si="34"/>
        <v>1</v>
      </c>
      <c r="K377" s="15">
        <v>3.4722223062999547E-5</v>
      </c>
      <c r="M377" s="8">
        <f t="shared" si="31"/>
        <v>472</v>
      </c>
      <c r="N377" s="9" t="s">
        <v>63</v>
      </c>
      <c r="O377" s="9" t="s">
        <v>16</v>
      </c>
      <c r="P377" s="9">
        <v>1918</v>
      </c>
      <c r="Q377" s="9">
        <v>224</v>
      </c>
      <c r="R377" s="8" t="s">
        <v>17</v>
      </c>
      <c r="S377" s="11">
        <v>106</v>
      </c>
      <c r="T377" s="10">
        <v>0.27</v>
      </c>
    </row>
    <row r="378" spans="1:20" x14ac:dyDescent="0.3">
      <c r="A378" s="7">
        <f t="shared" si="32"/>
        <v>373</v>
      </c>
      <c r="B378" s="8">
        <v>940</v>
      </c>
      <c r="C378" s="9" t="str">
        <f t="shared" si="30"/>
        <v>4730x85185fe3A4e36079818Ba1d12705A9B6898997040xa60AdD2af71a4f50b3F94509E71a1e9DbDeA5dDa1796125unidade1170027</v>
      </c>
      <c r="D378" s="13" t="s">
        <v>440</v>
      </c>
      <c r="E378" s="8" t="s">
        <v>1317</v>
      </c>
      <c r="F378" s="8">
        <f t="shared" si="33"/>
        <v>0</v>
      </c>
      <c r="G378" s="8">
        <f t="shared" si="33"/>
        <v>0</v>
      </c>
      <c r="H378" s="8">
        <f t="shared" si="33"/>
        <v>4</v>
      </c>
      <c r="I378" s="8">
        <f t="shared" si="33"/>
        <v>9</v>
      </c>
      <c r="J378" s="8">
        <f t="shared" si="34"/>
        <v>4</v>
      </c>
      <c r="K378" s="15">
        <v>3.125000002910383E-4</v>
      </c>
      <c r="M378" s="8">
        <f t="shared" si="31"/>
        <v>473</v>
      </c>
      <c r="N378" s="9" t="s">
        <v>63</v>
      </c>
      <c r="O378" s="9" t="s">
        <v>16</v>
      </c>
      <c r="P378" s="9">
        <v>1796</v>
      </c>
      <c r="Q378" s="9">
        <v>125</v>
      </c>
      <c r="R378" s="8" t="s">
        <v>17</v>
      </c>
      <c r="S378" s="11">
        <v>117</v>
      </c>
      <c r="T378" s="10">
        <v>0.27</v>
      </c>
    </row>
    <row r="379" spans="1:20" x14ac:dyDescent="0.3">
      <c r="A379" s="7">
        <f t="shared" si="32"/>
        <v>374</v>
      </c>
      <c r="B379" s="8">
        <v>194</v>
      </c>
      <c r="C379" s="9" t="str">
        <f t="shared" si="30"/>
        <v>4740x85185fe3A4e36079818Ba1d12705A9B6898997040xa60AdD2af71a4f50b3F94509E71a1e9DbDeA5dDa1127171unidade1180027</v>
      </c>
      <c r="D379" s="13" t="s">
        <v>441</v>
      </c>
      <c r="E379" s="8" t="s">
        <v>1318</v>
      </c>
      <c r="F379" s="8">
        <f t="shared" si="33"/>
        <v>0</v>
      </c>
      <c r="G379" s="8">
        <f t="shared" si="33"/>
        <v>0</v>
      </c>
      <c r="H379" s="8">
        <f t="shared" si="33"/>
        <v>1</v>
      </c>
      <c r="I379" s="8">
        <f t="shared" si="33"/>
        <v>1</v>
      </c>
      <c r="J379" s="8">
        <f t="shared" si="34"/>
        <v>1</v>
      </c>
      <c r="K379" s="15">
        <v>6.9444438850041479E-5</v>
      </c>
      <c r="M379" s="8">
        <f t="shared" si="31"/>
        <v>474</v>
      </c>
      <c r="N379" s="9" t="s">
        <v>63</v>
      </c>
      <c r="O379" s="9" t="s">
        <v>16</v>
      </c>
      <c r="P379" s="9">
        <v>1127</v>
      </c>
      <c r="Q379" s="9">
        <v>171</v>
      </c>
      <c r="R379" s="8" t="s">
        <v>17</v>
      </c>
      <c r="S379" s="11">
        <v>118</v>
      </c>
      <c r="T379" s="10">
        <v>0.27</v>
      </c>
    </row>
    <row r="380" spans="1:20" x14ac:dyDescent="0.3">
      <c r="A380" s="7">
        <f t="shared" si="32"/>
        <v>375</v>
      </c>
      <c r="B380" s="8">
        <v>597</v>
      </c>
      <c r="C380" s="9" t="str">
        <f t="shared" si="30"/>
        <v>4750x85185fe3A4e36079818Ba1d12705A9B6898997040xa60AdD2af71a4f50b3F94509E71a1e9DbDeA5dDa1236194unidade1450027</v>
      </c>
      <c r="D380" s="13" t="s">
        <v>442</v>
      </c>
      <c r="E380" s="8" t="s">
        <v>1319</v>
      </c>
      <c r="F380" s="8">
        <f t="shared" si="33"/>
        <v>0</v>
      </c>
      <c r="G380" s="8">
        <f t="shared" si="33"/>
        <v>0</v>
      </c>
      <c r="H380" s="8">
        <f t="shared" si="33"/>
        <v>2</v>
      </c>
      <c r="I380" s="8">
        <f t="shared" si="33"/>
        <v>7</v>
      </c>
      <c r="J380" s="8">
        <f t="shared" si="34"/>
        <v>2</v>
      </c>
      <c r="K380" s="15">
        <v>1.9675926159834489E-4</v>
      </c>
      <c r="M380" s="8">
        <f t="shared" si="31"/>
        <v>475</v>
      </c>
      <c r="N380" s="9" t="s">
        <v>63</v>
      </c>
      <c r="O380" s="9" t="s">
        <v>16</v>
      </c>
      <c r="P380" s="9">
        <v>1236</v>
      </c>
      <c r="Q380" s="9">
        <v>194</v>
      </c>
      <c r="R380" s="8" t="s">
        <v>17</v>
      </c>
      <c r="S380" s="11">
        <v>145</v>
      </c>
      <c r="T380" s="10">
        <v>0.27</v>
      </c>
    </row>
    <row r="381" spans="1:20" x14ac:dyDescent="0.3">
      <c r="A381" s="7">
        <f t="shared" si="32"/>
        <v>376</v>
      </c>
      <c r="B381" s="8">
        <v>89</v>
      </c>
      <c r="C381" s="9" t="str">
        <f t="shared" si="30"/>
        <v>4760x85185fe3A4e36079818Ba1d12705A9B6898997040xa60AdD2af71a4f50b3F94509E71a1e9DbDeA5dDa1421462unidade1830027</v>
      </c>
      <c r="D381" s="13" t="s">
        <v>443</v>
      </c>
      <c r="E381" s="8" t="s">
        <v>1320</v>
      </c>
      <c r="F381" s="8">
        <f t="shared" si="33"/>
        <v>0</v>
      </c>
      <c r="G381" s="8">
        <f t="shared" si="33"/>
        <v>0</v>
      </c>
      <c r="H381" s="8">
        <f t="shared" si="33"/>
        <v>1</v>
      </c>
      <c r="I381" s="8">
        <f t="shared" si="33"/>
        <v>1</v>
      </c>
      <c r="J381" s="8">
        <f t="shared" si="34"/>
        <v>1</v>
      </c>
      <c r="K381" s="15">
        <v>2.314814628334716E-5</v>
      </c>
      <c r="M381" s="8">
        <f t="shared" si="31"/>
        <v>476</v>
      </c>
      <c r="N381" s="9" t="s">
        <v>63</v>
      </c>
      <c r="O381" s="9" t="s">
        <v>16</v>
      </c>
      <c r="P381" s="9">
        <v>1421</v>
      </c>
      <c r="Q381" s="9">
        <v>462</v>
      </c>
      <c r="R381" s="8" t="s">
        <v>17</v>
      </c>
      <c r="S381" s="11">
        <v>183</v>
      </c>
      <c r="T381" s="10">
        <v>0.27</v>
      </c>
    </row>
    <row r="382" spans="1:20" x14ac:dyDescent="0.3">
      <c r="A382" s="7">
        <f t="shared" si="32"/>
        <v>377</v>
      </c>
      <c r="B382" s="8">
        <v>326</v>
      </c>
      <c r="C382" s="9" t="str">
        <f t="shared" si="30"/>
        <v>4770x85185fe3A4e36079818Ba1d12705A9B6898997040xa60AdD2af71a4f50b3F94509E71a1e9DbDeA5dDa1645365unidade1410027</v>
      </c>
      <c r="D382" s="13" t="s">
        <v>444</v>
      </c>
      <c r="E382" s="8" t="s">
        <v>1321</v>
      </c>
      <c r="F382" s="8">
        <f t="shared" si="33"/>
        <v>0</v>
      </c>
      <c r="G382" s="8">
        <f t="shared" si="33"/>
        <v>0</v>
      </c>
      <c r="H382" s="8">
        <f t="shared" si="33"/>
        <v>5</v>
      </c>
      <c r="I382" s="8">
        <f t="shared" si="33"/>
        <v>2</v>
      </c>
      <c r="J382" s="8">
        <f t="shared" si="34"/>
        <v>5</v>
      </c>
      <c r="K382" s="15">
        <v>1.0416666918899864E-4</v>
      </c>
      <c r="M382" s="8">
        <f t="shared" si="31"/>
        <v>477</v>
      </c>
      <c r="N382" s="9" t="s">
        <v>63</v>
      </c>
      <c r="O382" s="9" t="s">
        <v>16</v>
      </c>
      <c r="P382" s="9">
        <v>1645</v>
      </c>
      <c r="Q382" s="9">
        <v>365</v>
      </c>
      <c r="R382" s="8" t="s">
        <v>17</v>
      </c>
      <c r="S382" s="11">
        <v>141</v>
      </c>
      <c r="T382" s="10">
        <v>0.27</v>
      </c>
    </row>
    <row r="383" spans="1:20" x14ac:dyDescent="0.3">
      <c r="A383" s="7">
        <f t="shared" si="32"/>
        <v>378</v>
      </c>
      <c r="B383" s="8">
        <v>134</v>
      </c>
      <c r="C383" s="9" t="str">
        <f t="shared" si="30"/>
        <v>4780x85185fe3A4e36079818Ba1d12705A9B6898997040xa60AdD2af71a4f50b3F94509E71a1e9DbDeA5dDa1182105unidade1590027</v>
      </c>
      <c r="D383" s="13" t="s">
        <v>445</v>
      </c>
      <c r="E383" s="8" t="s">
        <v>1322</v>
      </c>
      <c r="F383" s="8">
        <f t="shared" si="33"/>
        <v>0</v>
      </c>
      <c r="G383" s="8">
        <f t="shared" si="33"/>
        <v>0</v>
      </c>
      <c r="H383" s="8">
        <f t="shared" si="33"/>
        <v>6</v>
      </c>
      <c r="I383" s="8">
        <f t="shared" si="33"/>
        <v>0</v>
      </c>
      <c r="J383" s="8">
        <f t="shared" si="34"/>
        <v>6</v>
      </c>
      <c r="K383" s="15">
        <v>3.4722223062999547E-5</v>
      </c>
      <c r="M383" s="8">
        <f t="shared" si="31"/>
        <v>478</v>
      </c>
      <c r="N383" s="9" t="s">
        <v>63</v>
      </c>
      <c r="O383" s="9" t="s">
        <v>16</v>
      </c>
      <c r="P383" s="9">
        <v>1182</v>
      </c>
      <c r="Q383" s="9">
        <v>105</v>
      </c>
      <c r="R383" s="8" t="s">
        <v>17</v>
      </c>
      <c r="S383" s="11">
        <v>159</v>
      </c>
      <c r="T383" s="10">
        <v>0.27</v>
      </c>
    </row>
    <row r="384" spans="1:20" x14ac:dyDescent="0.3">
      <c r="A384" s="7">
        <f t="shared" si="32"/>
        <v>379</v>
      </c>
      <c r="B384" s="8">
        <v>745</v>
      </c>
      <c r="C384" s="9" t="str">
        <f t="shared" si="30"/>
        <v>4790x85185fe3A4e36079818Ba1d12705A9B6898997040xa60AdD2af71a4f50b3F94509E71a1e9DbDeA5dDa1407414unidade810027</v>
      </c>
      <c r="D384" s="13" t="s">
        <v>446</v>
      </c>
      <c r="E384" s="8" t="s">
        <v>1323</v>
      </c>
      <c r="F384" s="8">
        <f t="shared" si="33"/>
        <v>0</v>
      </c>
      <c r="G384" s="8">
        <f t="shared" si="33"/>
        <v>0</v>
      </c>
      <c r="H384" s="8">
        <f t="shared" si="33"/>
        <v>6</v>
      </c>
      <c r="I384" s="8">
        <f t="shared" si="33"/>
        <v>8</v>
      </c>
      <c r="J384" s="8">
        <f t="shared" si="34"/>
        <v>6</v>
      </c>
      <c r="K384" s="15">
        <v>2.4305555416503921E-4</v>
      </c>
      <c r="M384" s="8">
        <f t="shared" si="31"/>
        <v>479</v>
      </c>
      <c r="N384" s="9" t="s">
        <v>63</v>
      </c>
      <c r="O384" s="9" t="s">
        <v>16</v>
      </c>
      <c r="P384" s="9">
        <v>1407</v>
      </c>
      <c r="Q384" s="9">
        <v>414</v>
      </c>
      <c r="R384" s="8" t="s">
        <v>17</v>
      </c>
      <c r="S384" s="11">
        <v>81</v>
      </c>
      <c r="T384" s="10">
        <v>0.27</v>
      </c>
    </row>
    <row r="385" spans="1:20" x14ac:dyDescent="0.3">
      <c r="A385" s="7">
        <f t="shared" si="32"/>
        <v>380</v>
      </c>
      <c r="B385" s="8">
        <v>62</v>
      </c>
      <c r="C385" s="9" t="str">
        <f t="shared" si="30"/>
        <v>4800x85185fe3A4e36079818Ba1d12705A9B6898997040xa60AdD2af71a4f50b3F94509E71a1e9DbDeA5dDa1556424unidade970027</v>
      </c>
      <c r="D385" s="13" t="s">
        <v>447</v>
      </c>
      <c r="E385" s="8" t="s">
        <v>847</v>
      </c>
      <c r="F385" s="8">
        <f t="shared" si="33"/>
        <v>0</v>
      </c>
      <c r="G385" s="8">
        <f t="shared" si="33"/>
        <v>0</v>
      </c>
      <c r="H385" s="8">
        <f t="shared" si="33"/>
        <v>0</v>
      </c>
      <c r="I385" s="8">
        <f t="shared" si="33"/>
        <v>1</v>
      </c>
      <c r="J385" s="8">
        <f t="shared" si="34"/>
        <v>0</v>
      </c>
      <c r="K385" s="15">
        <v>2.314814628334716E-5</v>
      </c>
      <c r="M385" s="8">
        <f t="shared" si="31"/>
        <v>480</v>
      </c>
      <c r="N385" s="9" t="s">
        <v>63</v>
      </c>
      <c r="O385" s="9" t="s">
        <v>16</v>
      </c>
      <c r="P385" s="9">
        <v>1556</v>
      </c>
      <c r="Q385" s="9">
        <v>424</v>
      </c>
      <c r="R385" s="8" t="s">
        <v>17</v>
      </c>
      <c r="S385" s="11">
        <v>97</v>
      </c>
      <c r="T385" s="10">
        <v>0.27</v>
      </c>
    </row>
    <row r="386" spans="1:20" x14ac:dyDescent="0.3">
      <c r="A386" s="7">
        <f t="shared" si="32"/>
        <v>381</v>
      </c>
      <c r="B386" s="8">
        <v>239</v>
      </c>
      <c r="C386" s="9" t="str">
        <f t="shared" si="30"/>
        <v>4810x85185fe3A4e36079818Ba1d12705A9B6898997040xa60AdD2af71a4f50b3F94509E71a1e9DbDeA5dDa1146371unidade1790027</v>
      </c>
      <c r="D386" s="13" t="s">
        <v>448</v>
      </c>
      <c r="E386" s="8" t="s">
        <v>1324</v>
      </c>
      <c r="F386" s="8">
        <f t="shared" si="33"/>
        <v>0</v>
      </c>
      <c r="G386" s="8">
        <f t="shared" si="33"/>
        <v>0</v>
      </c>
      <c r="H386" s="8">
        <f t="shared" si="33"/>
        <v>2</v>
      </c>
      <c r="I386" s="8">
        <f t="shared" si="33"/>
        <v>0</v>
      </c>
      <c r="J386" s="8">
        <f t="shared" si="34"/>
        <v>2</v>
      </c>
      <c r="K386" s="15">
        <v>6.9444446125999093E-5</v>
      </c>
      <c r="M386" s="8">
        <f t="shared" si="31"/>
        <v>481</v>
      </c>
      <c r="N386" s="9" t="s">
        <v>63</v>
      </c>
      <c r="O386" s="9" t="s">
        <v>16</v>
      </c>
      <c r="P386" s="9">
        <v>1146</v>
      </c>
      <c r="Q386" s="9">
        <v>371</v>
      </c>
      <c r="R386" s="8" t="s">
        <v>17</v>
      </c>
      <c r="S386" s="11">
        <v>179</v>
      </c>
      <c r="T386" s="10">
        <v>0.27</v>
      </c>
    </row>
    <row r="387" spans="1:20" x14ac:dyDescent="0.3">
      <c r="A387" s="7">
        <f t="shared" si="32"/>
        <v>382</v>
      </c>
      <c r="B387" s="8">
        <v>1014</v>
      </c>
      <c r="C387" s="9" t="str">
        <f t="shared" si="30"/>
        <v>4820x85185fe3A4e36079818Ba1d12705A9B6898997040xa60AdD2af71a4f50b3F94509E71a1e9DbDeA5dDa1991249unidade2090027</v>
      </c>
      <c r="D387" s="13" t="s">
        <v>449</v>
      </c>
      <c r="E387" s="8" t="s">
        <v>849</v>
      </c>
      <c r="F387" s="8">
        <f t="shared" si="33"/>
        <v>0</v>
      </c>
      <c r="G387" s="8">
        <f t="shared" si="33"/>
        <v>0</v>
      </c>
      <c r="H387" s="8">
        <f t="shared" si="33"/>
        <v>0</v>
      </c>
      <c r="I387" s="8">
        <f t="shared" si="33"/>
        <v>7</v>
      </c>
      <c r="J387" s="8">
        <f t="shared" si="34"/>
        <v>0</v>
      </c>
      <c r="K387" s="15">
        <v>3.2407407707069069E-4</v>
      </c>
      <c r="M387" s="8">
        <f t="shared" si="31"/>
        <v>482</v>
      </c>
      <c r="N387" s="9" t="s">
        <v>63</v>
      </c>
      <c r="O387" s="9" t="s">
        <v>16</v>
      </c>
      <c r="P387" s="9">
        <v>1991</v>
      </c>
      <c r="Q387" s="9">
        <v>249</v>
      </c>
      <c r="R387" s="8" t="s">
        <v>17</v>
      </c>
      <c r="S387" s="11">
        <v>209</v>
      </c>
      <c r="T387" s="10">
        <v>0.27</v>
      </c>
    </row>
    <row r="388" spans="1:20" x14ac:dyDescent="0.3">
      <c r="A388" s="7">
        <f t="shared" si="32"/>
        <v>383</v>
      </c>
      <c r="B388" s="8">
        <v>53</v>
      </c>
      <c r="C388" s="9" t="str">
        <f t="shared" si="30"/>
        <v>4830x85185fe3A4e36079818Ba1d12705A9B6898997040xa60AdD2af71a4f50b3F94509E71a1e9DbDeA5dDa1048382unidade2400027</v>
      </c>
      <c r="D388" s="13" t="s">
        <v>450</v>
      </c>
      <c r="E388" s="8" t="s">
        <v>1325</v>
      </c>
      <c r="F388" s="8">
        <f t="shared" si="33"/>
        <v>0</v>
      </c>
      <c r="G388" s="8">
        <f t="shared" si="33"/>
        <v>0</v>
      </c>
      <c r="H388" s="8">
        <f t="shared" si="33"/>
        <v>5</v>
      </c>
      <c r="I388" s="8">
        <f t="shared" si="33"/>
        <v>8</v>
      </c>
      <c r="J388" s="8">
        <f t="shared" si="34"/>
        <v>5</v>
      </c>
      <c r="K388" s="15">
        <v>1.1574076779652387E-5</v>
      </c>
      <c r="M388" s="8">
        <f t="shared" si="31"/>
        <v>483</v>
      </c>
      <c r="N388" s="9" t="s">
        <v>63</v>
      </c>
      <c r="O388" s="9" t="s">
        <v>16</v>
      </c>
      <c r="P388" s="9">
        <v>1048</v>
      </c>
      <c r="Q388" s="9">
        <v>382</v>
      </c>
      <c r="R388" s="8" t="s">
        <v>17</v>
      </c>
      <c r="S388" s="11">
        <v>240</v>
      </c>
      <c r="T388" s="10">
        <v>0.27</v>
      </c>
    </row>
    <row r="389" spans="1:20" x14ac:dyDescent="0.3">
      <c r="A389" s="7">
        <f t="shared" si="32"/>
        <v>384</v>
      </c>
      <c r="B389" s="8">
        <v>135</v>
      </c>
      <c r="C389" s="9" t="str">
        <f t="shared" si="30"/>
        <v>4840x85185fe3A4e36079818Ba1d12705A9B6898997040xa60AdD2af71a4f50b3F94509E71a1e9DbDeA5dDa1116304unidade1860027</v>
      </c>
      <c r="D389" s="13" t="s">
        <v>451</v>
      </c>
      <c r="E389" s="8" t="s">
        <v>1326</v>
      </c>
      <c r="F389" s="8">
        <f t="shared" si="33"/>
        <v>0</v>
      </c>
      <c r="G389" s="8">
        <f t="shared" si="33"/>
        <v>0</v>
      </c>
      <c r="H389" s="8">
        <f t="shared" si="33"/>
        <v>1</v>
      </c>
      <c r="I389" s="8">
        <f t="shared" si="33"/>
        <v>4</v>
      </c>
      <c r="J389" s="8">
        <f t="shared" si="34"/>
        <v>1</v>
      </c>
      <c r="K389" s="15">
        <v>3.4722223062999547E-5</v>
      </c>
      <c r="M389" s="8">
        <f t="shared" si="31"/>
        <v>484</v>
      </c>
      <c r="N389" s="9" t="s">
        <v>63</v>
      </c>
      <c r="O389" s="9" t="s">
        <v>16</v>
      </c>
      <c r="P389" s="9">
        <v>1116</v>
      </c>
      <c r="Q389" s="9">
        <v>304</v>
      </c>
      <c r="R389" s="8" t="s">
        <v>17</v>
      </c>
      <c r="S389" s="11">
        <v>186</v>
      </c>
      <c r="T389" s="10">
        <v>0.27</v>
      </c>
    </row>
    <row r="390" spans="1:20" x14ac:dyDescent="0.3">
      <c r="A390" s="7">
        <f t="shared" si="32"/>
        <v>385</v>
      </c>
      <c r="B390" s="8">
        <v>201</v>
      </c>
      <c r="C390" s="9" t="str">
        <f t="shared" ref="C390:C453" si="35">M390&amp;N390&amp;O390&amp;P390&amp;Q390&amp;R390&amp;(S390*100)&amp;(T390*100)</f>
        <v>4850x85185fe3A4e36079818Ba1d12705A9B6898997040xa60AdD2af71a4f50b3F94509E71a1e9DbDeA5dDa1346190unidade1550027</v>
      </c>
      <c r="D390" s="13" t="s">
        <v>452</v>
      </c>
      <c r="E390" s="8" t="s">
        <v>1327</v>
      </c>
      <c r="F390" s="8">
        <f t="shared" si="33"/>
        <v>0</v>
      </c>
      <c r="G390" s="8">
        <f t="shared" si="33"/>
        <v>0</v>
      </c>
      <c r="H390" s="8">
        <f t="shared" si="33"/>
        <v>1</v>
      </c>
      <c r="I390" s="8">
        <f t="shared" si="33"/>
        <v>1</v>
      </c>
      <c r="J390" s="8">
        <f t="shared" si="34"/>
        <v>1</v>
      </c>
      <c r="K390" s="15">
        <v>6.9444446125999093E-5</v>
      </c>
      <c r="M390" s="8">
        <f t="shared" ref="M390:M453" si="36">1+M389</f>
        <v>485</v>
      </c>
      <c r="N390" s="9" t="s">
        <v>63</v>
      </c>
      <c r="O390" s="9" t="s">
        <v>16</v>
      </c>
      <c r="P390" s="9">
        <v>1346</v>
      </c>
      <c r="Q390" s="9">
        <v>190</v>
      </c>
      <c r="R390" s="8" t="s">
        <v>17</v>
      </c>
      <c r="S390" s="11">
        <v>155</v>
      </c>
      <c r="T390" s="10">
        <v>0.27</v>
      </c>
    </row>
    <row r="391" spans="1:20" x14ac:dyDescent="0.3">
      <c r="A391" s="7">
        <f t="shared" ref="A391:A454" si="37">1+A390</f>
        <v>386</v>
      </c>
      <c r="B391" s="8">
        <v>7</v>
      </c>
      <c r="C391" s="9" t="str">
        <f t="shared" si="35"/>
        <v>4860x85185fe3A4e36079818Ba1d12705A9B6898997040xa60AdD2af71a4f50b3F94509E71a1e9DbDeA5dDa1213382unidade1050027</v>
      </c>
      <c r="D391" s="13" t="s">
        <v>453</v>
      </c>
      <c r="E391" s="8" t="s">
        <v>1328</v>
      </c>
      <c r="F391" s="8">
        <f t="shared" si="33"/>
        <v>0</v>
      </c>
      <c r="G391" s="8">
        <f t="shared" si="33"/>
        <v>0</v>
      </c>
      <c r="H391" s="8">
        <f t="shared" si="33"/>
        <v>4</v>
      </c>
      <c r="I391" s="8">
        <f t="shared" si="33"/>
        <v>4</v>
      </c>
      <c r="J391" s="8">
        <f t="shared" si="34"/>
        <v>4</v>
      </c>
      <c r="K391" s="15">
        <v>0</v>
      </c>
      <c r="M391" s="8">
        <f t="shared" si="36"/>
        <v>486</v>
      </c>
      <c r="N391" s="9" t="s">
        <v>63</v>
      </c>
      <c r="O391" s="9" t="s">
        <v>16</v>
      </c>
      <c r="P391" s="9">
        <v>1213</v>
      </c>
      <c r="Q391" s="9">
        <v>382</v>
      </c>
      <c r="R391" s="8" t="s">
        <v>17</v>
      </c>
      <c r="S391" s="11">
        <v>105</v>
      </c>
      <c r="T391" s="10">
        <v>0.27</v>
      </c>
    </row>
    <row r="392" spans="1:20" x14ac:dyDescent="0.3">
      <c r="A392" s="7">
        <f t="shared" si="37"/>
        <v>387</v>
      </c>
      <c r="B392" s="8">
        <v>153</v>
      </c>
      <c r="C392" s="9" t="str">
        <f t="shared" si="35"/>
        <v>4870x85185fe3A4e36079818Ba1d12705A9B6898997040xa60AdD2af71a4f50b3F94509E71a1e9DbDeA5dDa1805279unidade1610027</v>
      </c>
      <c r="D392" s="13" t="s">
        <v>454</v>
      </c>
      <c r="E392" s="8" t="s">
        <v>1329</v>
      </c>
      <c r="F392" s="8">
        <f t="shared" si="33"/>
        <v>0</v>
      </c>
      <c r="G392" s="8">
        <f t="shared" si="33"/>
        <v>0</v>
      </c>
      <c r="H392" s="8">
        <f t="shared" si="33"/>
        <v>3</v>
      </c>
      <c r="I392" s="8">
        <f t="shared" si="33"/>
        <v>0</v>
      </c>
      <c r="J392" s="8">
        <f t="shared" si="34"/>
        <v>3</v>
      </c>
      <c r="K392" s="15">
        <v>5.7870369346346706E-5</v>
      </c>
      <c r="M392" s="8">
        <f t="shared" si="36"/>
        <v>487</v>
      </c>
      <c r="N392" s="9" t="s">
        <v>63</v>
      </c>
      <c r="O392" s="9" t="s">
        <v>16</v>
      </c>
      <c r="P392" s="9">
        <v>1805</v>
      </c>
      <c r="Q392" s="9">
        <v>279</v>
      </c>
      <c r="R392" s="8" t="s">
        <v>17</v>
      </c>
      <c r="S392" s="11">
        <v>161</v>
      </c>
      <c r="T392" s="10">
        <v>0.27</v>
      </c>
    </row>
    <row r="393" spans="1:20" x14ac:dyDescent="0.3">
      <c r="A393" s="7">
        <f t="shared" si="37"/>
        <v>388</v>
      </c>
      <c r="B393" s="8">
        <v>212</v>
      </c>
      <c r="C393" s="9" t="str">
        <f t="shared" si="35"/>
        <v>4880x85185fe3A4e36079818Ba1d12705A9B6898997040xa60AdD2af71a4f50b3F94509E71a1e9DbDeA5dDa1250108unidade2300027</v>
      </c>
      <c r="D393" s="13" t="s">
        <v>455</v>
      </c>
      <c r="E393" s="8" t="s">
        <v>1330</v>
      </c>
      <c r="F393" s="8">
        <f t="shared" si="33"/>
        <v>0</v>
      </c>
      <c r="G393" s="8">
        <f t="shared" si="33"/>
        <v>0</v>
      </c>
      <c r="H393" s="8">
        <f t="shared" si="33"/>
        <v>8</v>
      </c>
      <c r="I393" s="8">
        <f t="shared" si="33"/>
        <v>1</v>
      </c>
      <c r="J393" s="8">
        <f t="shared" si="34"/>
        <v>8</v>
      </c>
      <c r="K393" s="15">
        <v>6.9444446125999093E-5</v>
      </c>
      <c r="M393" s="8">
        <f t="shared" si="36"/>
        <v>488</v>
      </c>
      <c r="N393" s="9" t="s">
        <v>63</v>
      </c>
      <c r="O393" s="9" t="s">
        <v>16</v>
      </c>
      <c r="P393" s="9">
        <v>1250</v>
      </c>
      <c r="Q393" s="9">
        <v>108</v>
      </c>
      <c r="R393" s="8" t="s">
        <v>17</v>
      </c>
      <c r="S393" s="11">
        <v>230</v>
      </c>
      <c r="T393" s="10">
        <v>0.27</v>
      </c>
    </row>
    <row r="394" spans="1:20" x14ac:dyDescent="0.3">
      <c r="A394" s="7">
        <f t="shared" si="37"/>
        <v>389</v>
      </c>
      <c r="B394" s="8">
        <v>90</v>
      </c>
      <c r="C394" s="9" t="str">
        <f t="shared" si="35"/>
        <v>4890x85185fe3A4e36079818Ba1d12705A9B6898997040xa60AdD2af71a4f50b3F94509E71a1e9DbDeA5dDa1093388unidade2300027</v>
      </c>
      <c r="D394" s="13" t="s">
        <v>456</v>
      </c>
      <c r="E394" s="8" t="s">
        <v>856</v>
      </c>
      <c r="F394" s="8">
        <f t="shared" si="33"/>
        <v>0</v>
      </c>
      <c r="G394" s="8">
        <f t="shared" si="33"/>
        <v>0</v>
      </c>
      <c r="H394" s="8">
        <f t="shared" si="33"/>
        <v>0</v>
      </c>
      <c r="I394" s="8">
        <f t="shared" si="33"/>
        <v>1</v>
      </c>
      <c r="J394" s="8">
        <f t="shared" si="34"/>
        <v>0</v>
      </c>
      <c r="K394" s="15">
        <v>2.314814628334716E-5</v>
      </c>
      <c r="M394" s="8">
        <f t="shared" si="36"/>
        <v>489</v>
      </c>
      <c r="N394" s="9" t="s">
        <v>63</v>
      </c>
      <c r="O394" s="9" t="s">
        <v>16</v>
      </c>
      <c r="P394" s="9">
        <v>1093</v>
      </c>
      <c r="Q394" s="9">
        <v>388</v>
      </c>
      <c r="R394" s="8" t="s">
        <v>17</v>
      </c>
      <c r="S394" s="11">
        <v>230</v>
      </c>
      <c r="T394" s="10">
        <v>0.27</v>
      </c>
    </row>
    <row r="395" spans="1:20" x14ac:dyDescent="0.3">
      <c r="A395" s="7">
        <f t="shared" si="37"/>
        <v>390</v>
      </c>
      <c r="B395" s="8">
        <v>1579</v>
      </c>
      <c r="C395" s="9" t="str">
        <f t="shared" si="35"/>
        <v>4900x85185fe3A4e36079818Ba1d12705A9B6898997040xa60AdD2af71a4f50b3F94509E71a1e9DbDeA5dDa1812287unidade1120027</v>
      </c>
      <c r="D395" s="13" t="s">
        <v>457</v>
      </c>
      <c r="E395" s="8" t="s">
        <v>1331</v>
      </c>
      <c r="F395" s="8">
        <f t="shared" si="33"/>
        <v>0</v>
      </c>
      <c r="G395" s="8">
        <f t="shared" si="33"/>
        <v>0</v>
      </c>
      <c r="H395" s="8">
        <f t="shared" si="33"/>
        <v>9</v>
      </c>
      <c r="I395" s="8">
        <f t="shared" si="33"/>
        <v>1</v>
      </c>
      <c r="J395" s="8">
        <f t="shared" si="34"/>
        <v>9</v>
      </c>
      <c r="K395" s="15">
        <v>4.9768518510973081E-4</v>
      </c>
      <c r="M395" s="8">
        <f t="shared" si="36"/>
        <v>490</v>
      </c>
      <c r="N395" s="9" t="s">
        <v>63</v>
      </c>
      <c r="O395" s="9" t="s">
        <v>16</v>
      </c>
      <c r="P395" s="9">
        <v>1812</v>
      </c>
      <c r="Q395" s="9">
        <v>287</v>
      </c>
      <c r="R395" s="8" t="s">
        <v>17</v>
      </c>
      <c r="S395" s="11">
        <v>112</v>
      </c>
      <c r="T395" s="10">
        <v>0.27</v>
      </c>
    </row>
    <row r="396" spans="1:20" x14ac:dyDescent="0.3">
      <c r="A396" s="7">
        <f t="shared" si="37"/>
        <v>391</v>
      </c>
      <c r="B396" s="8">
        <v>59</v>
      </c>
      <c r="C396" s="9" t="str">
        <f t="shared" si="35"/>
        <v>4910x85185fe3A4e36079818Ba1d12705A9B6898997040xa60AdD2af71a4f50b3F94509E71a1e9DbDeA5dDa1352113unidade2440027</v>
      </c>
      <c r="D396" s="13" t="s">
        <v>458</v>
      </c>
      <c r="E396" s="8" t="s">
        <v>1332</v>
      </c>
      <c r="F396" s="8">
        <f t="shared" si="33"/>
        <v>0</v>
      </c>
      <c r="G396" s="8">
        <f t="shared" si="33"/>
        <v>0</v>
      </c>
      <c r="H396" s="8">
        <f t="shared" si="33"/>
        <v>1</v>
      </c>
      <c r="I396" s="8">
        <f t="shared" si="33"/>
        <v>1</v>
      </c>
      <c r="J396" s="8">
        <f t="shared" si="34"/>
        <v>1</v>
      </c>
      <c r="K396" s="15">
        <v>2.314814628334716E-5</v>
      </c>
      <c r="M396" s="8">
        <f t="shared" si="36"/>
        <v>491</v>
      </c>
      <c r="N396" s="9" t="s">
        <v>63</v>
      </c>
      <c r="O396" s="9" t="s">
        <v>16</v>
      </c>
      <c r="P396" s="9">
        <v>1352</v>
      </c>
      <c r="Q396" s="9">
        <v>113</v>
      </c>
      <c r="R396" s="8" t="s">
        <v>17</v>
      </c>
      <c r="S396" s="11">
        <v>244</v>
      </c>
      <c r="T396" s="10">
        <v>0.27</v>
      </c>
    </row>
    <row r="397" spans="1:20" x14ac:dyDescent="0.3">
      <c r="A397" s="7">
        <f t="shared" si="37"/>
        <v>392</v>
      </c>
      <c r="B397" s="8">
        <v>485</v>
      </c>
      <c r="C397" s="9" t="str">
        <f t="shared" si="35"/>
        <v>4920x85185fe3A4e36079818Ba1d12705A9B6898997040xa60AdD2af71a4f50b3F94509E71a1e9DbDeA5dDa1014433unidade1530027</v>
      </c>
      <c r="D397" s="13" t="s">
        <v>459</v>
      </c>
      <c r="E397" s="8" t="s">
        <v>1333</v>
      </c>
      <c r="F397" s="8">
        <f t="shared" si="33"/>
        <v>0</v>
      </c>
      <c r="G397" s="8">
        <f t="shared" si="33"/>
        <v>0</v>
      </c>
      <c r="H397" s="8">
        <f t="shared" si="33"/>
        <v>1</v>
      </c>
      <c r="I397" s="8">
        <f t="shared" si="33"/>
        <v>3</v>
      </c>
      <c r="J397" s="8">
        <f t="shared" si="34"/>
        <v>1</v>
      </c>
      <c r="K397" s="15">
        <v>1.6203703853534535E-4</v>
      </c>
      <c r="M397" s="8">
        <f t="shared" si="36"/>
        <v>492</v>
      </c>
      <c r="N397" s="9" t="s">
        <v>63</v>
      </c>
      <c r="O397" s="9" t="s">
        <v>16</v>
      </c>
      <c r="P397" s="9">
        <v>1014</v>
      </c>
      <c r="Q397" s="9">
        <v>433</v>
      </c>
      <c r="R397" s="8" t="s">
        <v>17</v>
      </c>
      <c r="S397" s="11">
        <v>153</v>
      </c>
      <c r="T397" s="10">
        <v>0.27</v>
      </c>
    </row>
    <row r="398" spans="1:20" x14ac:dyDescent="0.3">
      <c r="A398" s="7">
        <f t="shared" si="37"/>
        <v>393</v>
      </c>
      <c r="B398" s="8">
        <v>290</v>
      </c>
      <c r="C398" s="9" t="str">
        <f t="shared" si="35"/>
        <v>4930x85185fe3A4e36079818Ba1d12705A9B6898997040xa60AdD2af71a4f50b3F94509E71a1e9DbDeA5dDa1088178unidade1780027</v>
      </c>
      <c r="D398" s="13" t="s">
        <v>460</v>
      </c>
      <c r="E398" s="8" t="s">
        <v>1334</v>
      </c>
      <c r="F398" s="8">
        <f t="shared" si="33"/>
        <v>0</v>
      </c>
      <c r="G398" s="8">
        <f t="shared" si="33"/>
        <v>0</v>
      </c>
      <c r="H398" s="8">
        <f t="shared" si="33"/>
        <v>2</v>
      </c>
      <c r="I398" s="8">
        <f t="shared" si="33"/>
        <v>1</v>
      </c>
      <c r="J398" s="8">
        <f t="shared" si="34"/>
        <v>2</v>
      </c>
      <c r="K398" s="15">
        <v>9.2592592409346253E-5</v>
      </c>
      <c r="M398" s="8">
        <f t="shared" si="36"/>
        <v>493</v>
      </c>
      <c r="N398" s="9" t="s">
        <v>63</v>
      </c>
      <c r="O398" s="9" t="s">
        <v>16</v>
      </c>
      <c r="P398" s="9">
        <v>1088</v>
      </c>
      <c r="Q398" s="9">
        <v>178</v>
      </c>
      <c r="R398" s="8" t="s">
        <v>17</v>
      </c>
      <c r="S398" s="11">
        <v>178</v>
      </c>
      <c r="T398" s="10">
        <v>0.27</v>
      </c>
    </row>
    <row r="399" spans="1:20" x14ac:dyDescent="0.3">
      <c r="A399" s="7">
        <f t="shared" si="37"/>
        <v>394</v>
      </c>
      <c r="B399" s="8">
        <v>22</v>
      </c>
      <c r="C399" s="9" t="str">
        <f t="shared" si="35"/>
        <v>4940x85185fe3A4e36079818Ba1d12705A9B6898997040xa60AdD2af71a4f50b3F94509E71a1e9DbDeA5dDa1647380unidade780027</v>
      </c>
      <c r="D399" s="13" t="s">
        <v>461</v>
      </c>
      <c r="E399" s="8" t="s">
        <v>1335</v>
      </c>
      <c r="F399" s="8">
        <f t="shared" si="33"/>
        <v>0</v>
      </c>
      <c r="G399" s="8">
        <f t="shared" si="33"/>
        <v>0</v>
      </c>
      <c r="H399" s="8">
        <f t="shared" si="33"/>
        <v>1</v>
      </c>
      <c r="I399" s="8">
        <f t="shared" si="33"/>
        <v>1</v>
      </c>
      <c r="J399" s="8">
        <f t="shared" si="34"/>
        <v>1</v>
      </c>
      <c r="K399" s="15">
        <v>1.1574069503694773E-5</v>
      </c>
      <c r="M399" s="8">
        <f t="shared" si="36"/>
        <v>494</v>
      </c>
      <c r="N399" s="9" t="s">
        <v>63</v>
      </c>
      <c r="O399" s="9" t="s">
        <v>16</v>
      </c>
      <c r="P399" s="9">
        <v>1647</v>
      </c>
      <c r="Q399" s="9">
        <v>380</v>
      </c>
      <c r="R399" s="8" t="s">
        <v>17</v>
      </c>
      <c r="S399" s="11">
        <v>78</v>
      </c>
      <c r="T399" s="10">
        <v>0.27</v>
      </c>
    </row>
    <row r="400" spans="1:20" x14ac:dyDescent="0.3">
      <c r="A400" s="7">
        <f t="shared" si="37"/>
        <v>395</v>
      </c>
      <c r="B400" s="8">
        <v>78</v>
      </c>
      <c r="C400" s="9" t="str">
        <f t="shared" si="35"/>
        <v>4950x85185fe3A4e36079818Ba1d12705A9B6898997040xa60AdD2af71a4f50b3F94509E71a1e9DbDeA5dDa1443463unidade1740027</v>
      </c>
      <c r="D400" s="13" t="s">
        <v>462</v>
      </c>
      <c r="E400" s="8" t="s">
        <v>1336</v>
      </c>
      <c r="F400" s="8">
        <f t="shared" si="33"/>
        <v>0</v>
      </c>
      <c r="G400" s="8">
        <f t="shared" si="33"/>
        <v>0</v>
      </c>
      <c r="H400" s="8">
        <f t="shared" si="33"/>
        <v>3</v>
      </c>
      <c r="I400" s="8">
        <f t="shared" si="33"/>
        <v>2</v>
      </c>
      <c r="J400" s="8">
        <f t="shared" si="34"/>
        <v>3</v>
      </c>
      <c r="K400" s="15">
        <v>2.3148153559304774E-5</v>
      </c>
      <c r="M400" s="8">
        <f t="shared" si="36"/>
        <v>495</v>
      </c>
      <c r="N400" s="9" t="s">
        <v>63</v>
      </c>
      <c r="O400" s="9" t="s">
        <v>16</v>
      </c>
      <c r="P400" s="9">
        <v>1443</v>
      </c>
      <c r="Q400" s="9">
        <v>463</v>
      </c>
      <c r="R400" s="8" t="s">
        <v>17</v>
      </c>
      <c r="S400" s="11">
        <v>174</v>
      </c>
      <c r="T400" s="10">
        <v>0.27</v>
      </c>
    </row>
    <row r="401" spans="1:20" x14ac:dyDescent="0.3">
      <c r="A401" s="7">
        <f t="shared" si="37"/>
        <v>396</v>
      </c>
      <c r="B401" s="8">
        <v>137</v>
      </c>
      <c r="C401" s="9" t="str">
        <f t="shared" si="35"/>
        <v>4960x85185fe3A4e36079818Ba1d12705A9B6898997040xa60AdD2af71a4f50b3F94509E71a1e9DbDeA5dDa1544306unidade500027</v>
      </c>
      <c r="D401" s="13" t="s">
        <v>463</v>
      </c>
      <c r="E401" s="8" t="s">
        <v>1337</v>
      </c>
      <c r="F401" s="8">
        <f t="shared" si="33"/>
        <v>0</v>
      </c>
      <c r="G401" s="8">
        <f t="shared" si="33"/>
        <v>0</v>
      </c>
      <c r="H401" s="8">
        <f t="shared" si="33"/>
        <v>7</v>
      </c>
      <c r="I401" s="8">
        <f t="shared" si="33"/>
        <v>1</v>
      </c>
      <c r="J401" s="8">
        <f t="shared" si="34"/>
        <v>7</v>
      </c>
      <c r="K401" s="15">
        <v>4.6296292566694319E-5</v>
      </c>
      <c r="M401" s="8">
        <f t="shared" si="36"/>
        <v>496</v>
      </c>
      <c r="N401" s="9" t="s">
        <v>63</v>
      </c>
      <c r="O401" s="9" t="s">
        <v>16</v>
      </c>
      <c r="P401" s="9">
        <v>1544</v>
      </c>
      <c r="Q401" s="9">
        <v>306</v>
      </c>
      <c r="R401" s="8" t="s">
        <v>17</v>
      </c>
      <c r="S401" s="11">
        <v>50</v>
      </c>
      <c r="T401" s="10">
        <v>0.27</v>
      </c>
    </row>
    <row r="402" spans="1:20" x14ac:dyDescent="0.3">
      <c r="A402" s="7">
        <f t="shared" si="37"/>
        <v>397</v>
      </c>
      <c r="B402" s="8">
        <v>48</v>
      </c>
      <c r="C402" s="9" t="str">
        <f t="shared" si="35"/>
        <v>4970x85185fe3A4e36079818Ba1d12705A9B6898997040xa60AdD2af71a4f50b3F94509E71a1e9DbDeA5dDa1222373unidade700027</v>
      </c>
      <c r="D402" s="13" t="s">
        <v>464</v>
      </c>
      <c r="E402" s="8" t="s">
        <v>1338</v>
      </c>
      <c r="F402" s="8">
        <f t="shared" si="33"/>
        <v>0</v>
      </c>
      <c r="G402" s="8">
        <f t="shared" si="33"/>
        <v>0</v>
      </c>
      <c r="H402" s="8">
        <f t="shared" si="33"/>
        <v>1</v>
      </c>
      <c r="I402" s="8">
        <f t="shared" si="33"/>
        <v>1</v>
      </c>
      <c r="J402" s="8">
        <f t="shared" si="34"/>
        <v>1</v>
      </c>
      <c r="K402" s="15">
        <v>1.1574076779652387E-5</v>
      </c>
      <c r="M402" s="8">
        <f t="shared" si="36"/>
        <v>497</v>
      </c>
      <c r="N402" s="9" t="s">
        <v>63</v>
      </c>
      <c r="O402" s="9" t="s">
        <v>16</v>
      </c>
      <c r="P402" s="9">
        <v>1222</v>
      </c>
      <c r="Q402" s="9">
        <v>373</v>
      </c>
      <c r="R402" s="8" t="s">
        <v>17</v>
      </c>
      <c r="S402" s="11">
        <v>70</v>
      </c>
      <c r="T402" s="10">
        <v>0.27</v>
      </c>
    </row>
    <row r="403" spans="1:20" x14ac:dyDescent="0.3">
      <c r="A403" s="7">
        <f t="shared" si="37"/>
        <v>398</v>
      </c>
      <c r="B403" s="8">
        <v>291</v>
      </c>
      <c r="C403" s="9" t="str">
        <f t="shared" si="35"/>
        <v>4980x85185fe3A4e36079818Ba1d12705A9B6898997040xa60AdD2af71a4f50b3F94509E71a1e9DbDeA5dDa1601183unidade1470027</v>
      </c>
      <c r="D403" s="13" t="s">
        <v>465</v>
      </c>
      <c r="E403" s="8" t="s">
        <v>1339</v>
      </c>
      <c r="F403" s="8">
        <f t="shared" si="33"/>
        <v>0</v>
      </c>
      <c r="G403" s="8">
        <f t="shared" si="33"/>
        <v>0</v>
      </c>
      <c r="H403" s="8">
        <f t="shared" si="33"/>
        <v>6</v>
      </c>
      <c r="I403" s="8">
        <f t="shared" si="33"/>
        <v>1</v>
      </c>
      <c r="J403" s="8">
        <f t="shared" si="34"/>
        <v>6</v>
      </c>
      <c r="K403" s="15">
        <v>9.2592592409346253E-5</v>
      </c>
      <c r="M403" s="8">
        <f t="shared" si="36"/>
        <v>498</v>
      </c>
      <c r="N403" s="9" t="s">
        <v>63</v>
      </c>
      <c r="O403" s="9" t="s">
        <v>16</v>
      </c>
      <c r="P403" s="9">
        <v>1601</v>
      </c>
      <c r="Q403" s="9">
        <v>183</v>
      </c>
      <c r="R403" s="8" t="s">
        <v>17</v>
      </c>
      <c r="S403" s="11">
        <v>147</v>
      </c>
      <c r="T403" s="10">
        <v>0.27</v>
      </c>
    </row>
    <row r="404" spans="1:20" x14ac:dyDescent="0.3">
      <c r="A404" s="7">
        <f t="shared" si="37"/>
        <v>399</v>
      </c>
      <c r="B404" s="8">
        <v>8</v>
      </c>
      <c r="C404" s="9" t="str">
        <f t="shared" si="35"/>
        <v>4990x85185fe3A4e36079818Ba1d12705A9B6898997040xa60AdD2af71a4f50b3F94509E71a1e9DbDeA5dDa1924264unidade930027</v>
      </c>
      <c r="D404" s="13" t="s">
        <v>466</v>
      </c>
      <c r="E404" s="8" t="s">
        <v>1340</v>
      </c>
      <c r="F404" s="8">
        <f t="shared" si="33"/>
        <v>0</v>
      </c>
      <c r="G404" s="8">
        <f t="shared" si="33"/>
        <v>0</v>
      </c>
      <c r="H404" s="8">
        <f t="shared" si="33"/>
        <v>8</v>
      </c>
      <c r="I404" s="8">
        <f t="shared" si="33"/>
        <v>0</v>
      </c>
      <c r="J404" s="8">
        <f t="shared" si="34"/>
        <v>8</v>
      </c>
      <c r="K404" s="15">
        <v>0</v>
      </c>
      <c r="M404" s="8">
        <f t="shared" si="36"/>
        <v>499</v>
      </c>
      <c r="N404" s="9" t="s">
        <v>63</v>
      </c>
      <c r="O404" s="9" t="s">
        <v>16</v>
      </c>
      <c r="P404" s="9">
        <v>1924</v>
      </c>
      <c r="Q404" s="9">
        <v>264</v>
      </c>
      <c r="R404" s="8" t="s">
        <v>17</v>
      </c>
      <c r="S404" s="11">
        <v>93</v>
      </c>
      <c r="T404" s="10">
        <v>0.27</v>
      </c>
    </row>
    <row r="405" spans="1:20" x14ac:dyDescent="0.3">
      <c r="A405" s="7">
        <f t="shared" si="37"/>
        <v>400</v>
      </c>
      <c r="B405" s="8">
        <v>260</v>
      </c>
      <c r="C405" s="9" t="str">
        <f t="shared" si="35"/>
        <v>5000x85185fe3A4e36079818Ba1d12705A9B6898997040xa60AdD2af71a4f50b3F94509E71a1e9DbDeA5dDa1546227unidade950027</v>
      </c>
      <c r="D405" s="13" t="s">
        <v>467</v>
      </c>
      <c r="E405" s="8" t="s">
        <v>1341</v>
      </c>
      <c r="F405" s="8">
        <f t="shared" si="33"/>
        <v>0</v>
      </c>
      <c r="G405" s="8">
        <f t="shared" si="33"/>
        <v>0</v>
      </c>
      <c r="H405" s="8">
        <f t="shared" si="33"/>
        <v>7</v>
      </c>
      <c r="I405" s="8">
        <f t="shared" si="33"/>
        <v>9</v>
      </c>
      <c r="J405" s="8">
        <f t="shared" si="34"/>
        <v>7</v>
      </c>
      <c r="K405" s="15">
        <v>9.2592592409346253E-5</v>
      </c>
      <c r="M405" s="8">
        <f t="shared" si="36"/>
        <v>500</v>
      </c>
      <c r="N405" s="9" t="s">
        <v>63</v>
      </c>
      <c r="O405" s="9" t="s">
        <v>16</v>
      </c>
      <c r="P405" s="9">
        <v>1546</v>
      </c>
      <c r="Q405" s="9">
        <v>227</v>
      </c>
      <c r="R405" s="8" t="s">
        <v>17</v>
      </c>
      <c r="S405" s="11">
        <v>95</v>
      </c>
      <c r="T405" s="10">
        <v>0.27</v>
      </c>
    </row>
    <row r="406" spans="1:20" x14ac:dyDescent="0.3">
      <c r="A406" s="7">
        <f t="shared" si="37"/>
        <v>401</v>
      </c>
      <c r="B406" s="8">
        <v>666</v>
      </c>
      <c r="C406" s="9" t="str">
        <f t="shared" si="35"/>
        <v>5010x85185fe3A4e36079818Ba1d12705A9B6898997040xa60AdD2af71a4f50b3F94509E71a1e9DbDeA5dDa1503134unidade1140027</v>
      </c>
      <c r="D406" s="13"/>
      <c r="E406" s="8" t="s">
        <v>1342</v>
      </c>
      <c r="F406" s="8">
        <f t="shared" si="33"/>
        <v>0</v>
      </c>
      <c r="G406" s="8">
        <f t="shared" si="33"/>
        <v>0</v>
      </c>
      <c r="H406" s="8">
        <f t="shared" si="33"/>
        <v>7</v>
      </c>
      <c r="I406" s="8">
        <f t="shared" si="33"/>
        <v>1</v>
      </c>
      <c r="J406" s="8">
        <f t="shared" si="34"/>
        <v>7</v>
      </c>
      <c r="K406" s="15">
        <v>1.8518519209465012E-4</v>
      </c>
      <c r="M406" s="8">
        <f t="shared" si="36"/>
        <v>501</v>
      </c>
      <c r="N406" s="9" t="s">
        <v>63</v>
      </c>
      <c r="O406" s="9" t="s">
        <v>16</v>
      </c>
      <c r="P406" s="9">
        <v>1503</v>
      </c>
      <c r="Q406" s="9">
        <v>134</v>
      </c>
      <c r="R406" s="8" t="s">
        <v>17</v>
      </c>
      <c r="S406" s="11">
        <v>114</v>
      </c>
      <c r="T406" s="10">
        <v>0.27</v>
      </c>
    </row>
    <row r="407" spans="1:20" x14ac:dyDescent="0.3">
      <c r="A407" s="7">
        <f t="shared" si="37"/>
        <v>402</v>
      </c>
      <c r="B407" s="8">
        <v>35</v>
      </c>
      <c r="C407" s="9" t="str">
        <f t="shared" si="35"/>
        <v>5020x85185fe3A4e36079818Ba1d12705A9B6898997040xa60AdD2af71a4f50b3F94509E71a1e9DbDeA5dDa755105unidade1150027</v>
      </c>
      <c r="D407" s="13"/>
      <c r="E407" s="8" t="s">
        <v>1343</v>
      </c>
      <c r="F407" s="8">
        <f t="shared" si="33"/>
        <v>0</v>
      </c>
      <c r="G407" s="8">
        <f t="shared" si="33"/>
        <v>0</v>
      </c>
      <c r="H407" s="8">
        <f t="shared" si="33"/>
        <v>3</v>
      </c>
      <c r="I407" s="8">
        <f t="shared" si="33"/>
        <v>1</v>
      </c>
      <c r="J407" s="8">
        <f t="shared" si="34"/>
        <v>3</v>
      </c>
      <c r="K407" s="15">
        <v>0</v>
      </c>
      <c r="M407" s="8">
        <f t="shared" si="36"/>
        <v>502</v>
      </c>
      <c r="N407" s="9" t="s">
        <v>63</v>
      </c>
      <c r="O407" s="9" t="s">
        <v>16</v>
      </c>
      <c r="P407" s="9">
        <v>755</v>
      </c>
      <c r="Q407" s="9">
        <v>105</v>
      </c>
      <c r="R407" s="8" t="s">
        <v>17</v>
      </c>
      <c r="S407" s="11">
        <v>115</v>
      </c>
      <c r="T407" s="10">
        <v>0.27</v>
      </c>
    </row>
    <row r="408" spans="1:20" x14ac:dyDescent="0.3">
      <c r="A408" s="7">
        <f t="shared" si="37"/>
        <v>403</v>
      </c>
      <c r="B408" s="8">
        <v>4</v>
      </c>
      <c r="C408" s="9" t="str">
        <f t="shared" si="35"/>
        <v>5030x85185fe3A4e36079818Ba1d12705A9B6898997040xa60AdD2af71a4f50b3F94509E71a1e9DbDeA5dDa668180unidade130027</v>
      </c>
      <c r="D408" s="13"/>
      <c r="E408" s="8" t="s">
        <v>870</v>
      </c>
      <c r="F408" s="8">
        <f t="shared" ref="F408:I471" si="38">IFERROR(VALUE(MID($E408,F$1,1)),1)</f>
        <v>0</v>
      </c>
      <c r="G408" s="8">
        <f t="shared" si="38"/>
        <v>0</v>
      </c>
      <c r="H408" s="8">
        <f t="shared" si="38"/>
        <v>0</v>
      </c>
      <c r="I408" s="8">
        <f t="shared" si="38"/>
        <v>1</v>
      </c>
      <c r="J408" s="8">
        <f t="shared" si="34"/>
        <v>0</v>
      </c>
      <c r="K408" s="15">
        <v>0</v>
      </c>
      <c r="M408" s="8">
        <f t="shared" si="36"/>
        <v>503</v>
      </c>
      <c r="N408" s="9" t="s">
        <v>63</v>
      </c>
      <c r="O408" s="9" t="s">
        <v>16</v>
      </c>
      <c r="P408" s="9">
        <v>668</v>
      </c>
      <c r="Q408" s="9">
        <v>180</v>
      </c>
      <c r="R408" s="8" t="s">
        <v>17</v>
      </c>
      <c r="S408" s="11">
        <v>13</v>
      </c>
      <c r="T408" s="10">
        <v>0.27</v>
      </c>
    </row>
    <row r="409" spans="1:20" x14ac:dyDescent="0.3">
      <c r="A409" s="7">
        <f t="shared" si="37"/>
        <v>404</v>
      </c>
      <c r="B409" s="8">
        <v>18</v>
      </c>
      <c r="C409" s="9" t="str">
        <f t="shared" si="35"/>
        <v>5040x85185fe3A4e36079818Ba1d12705A9B6898997040xa60AdD2af71a4f50b3F94509E71a1e9DbDeA5dDa417135unidade350027</v>
      </c>
      <c r="D409" s="13"/>
      <c r="E409" s="8" t="s">
        <v>1344</v>
      </c>
      <c r="F409" s="8">
        <f t="shared" si="38"/>
        <v>0</v>
      </c>
      <c r="G409" s="8">
        <f t="shared" si="38"/>
        <v>0</v>
      </c>
      <c r="H409" s="8">
        <f t="shared" si="38"/>
        <v>1</v>
      </c>
      <c r="I409" s="8">
        <f t="shared" si="38"/>
        <v>1</v>
      </c>
      <c r="J409" s="8">
        <f t="shared" si="34"/>
        <v>1</v>
      </c>
      <c r="K409" s="15">
        <v>0</v>
      </c>
      <c r="M409" s="8">
        <f t="shared" si="36"/>
        <v>504</v>
      </c>
      <c r="N409" s="9" t="s">
        <v>63</v>
      </c>
      <c r="O409" s="9" t="s">
        <v>16</v>
      </c>
      <c r="P409" s="9">
        <v>417</v>
      </c>
      <c r="Q409" s="9">
        <v>135</v>
      </c>
      <c r="R409" s="8" t="s">
        <v>17</v>
      </c>
      <c r="S409" s="11">
        <v>35</v>
      </c>
      <c r="T409" s="10">
        <v>0.27</v>
      </c>
    </row>
    <row r="410" spans="1:20" x14ac:dyDescent="0.3">
      <c r="A410" s="7">
        <f t="shared" si="37"/>
        <v>405</v>
      </c>
      <c r="B410" s="8">
        <v>179</v>
      </c>
      <c r="C410" s="9" t="str">
        <f t="shared" si="35"/>
        <v>5050x85185fe3A4e36079818Ba1d12705A9B6898997040xa60AdD2af71a4f50b3F94509E71a1e9DbDeA5dDa1772156unidade920027</v>
      </c>
      <c r="D410" s="13"/>
      <c r="E410" s="8" t="s">
        <v>1345</v>
      </c>
      <c r="F410" s="8">
        <f t="shared" si="38"/>
        <v>0</v>
      </c>
      <c r="G410" s="8">
        <f t="shared" si="38"/>
        <v>0</v>
      </c>
      <c r="H410" s="8">
        <f t="shared" si="38"/>
        <v>9</v>
      </c>
      <c r="I410" s="8">
        <f t="shared" si="38"/>
        <v>5</v>
      </c>
      <c r="J410" s="8">
        <f t="shared" si="34"/>
        <v>9</v>
      </c>
      <c r="K410" s="15">
        <v>4.6296292566694319E-5</v>
      </c>
      <c r="M410" s="8">
        <f t="shared" si="36"/>
        <v>505</v>
      </c>
      <c r="N410" s="9" t="s">
        <v>63</v>
      </c>
      <c r="O410" s="9" t="s">
        <v>16</v>
      </c>
      <c r="P410" s="9">
        <v>1772</v>
      </c>
      <c r="Q410" s="9">
        <v>156</v>
      </c>
      <c r="R410" s="8" t="s">
        <v>17</v>
      </c>
      <c r="S410" s="11">
        <v>92</v>
      </c>
      <c r="T410" s="10">
        <v>0.27</v>
      </c>
    </row>
    <row r="411" spans="1:20" x14ac:dyDescent="0.3">
      <c r="A411" s="7">
        <f t="shared" si="37"/>
        <v>406</v>
      </c>
      <c r="B411" s="8">
        <v>81</v>
      </c>
      <c r="C411" s="9" t="str">
        <f t="shared" si="35"/>
        <v>5060x85185fe3A4e36079818Ba1d12705A9B6898997040xa60AdD2af71a4f50b3F94509E71a1e9DbDeA5dDa433144unidade420027</v>
      </c>
      <c r="D411" s="13"/>
      <c r="E411" s="8" t="s">
        <v>1346</v>
      </c>
      <c r="F411" s="8">
        <f t="shared" si="38"/>
        <v>0</v>
      </c>
      <c r="G411" s="8">
        <f t="shared" si="38"/>
        <v>0</v>
      </c>
      <c r="H411" s="8">
        <f t="shared" si="38"/>
        <v>1</v>
      </c>
      <c r="I411" s="8">
        <f t="shared" si="38"/>
        <v>9</v>
      </c>
      <c r="J411" s="8">
        <f t="shared" si="34"/>
        <v>1</v>
      </c>
      <c r="K411" s="15">
        <v>2.3148153559304774E-5</v>
      </c>
      <c r="M411" s="8">
        <f t="shared" si="36"/>
        <v>506</v>
      </c>
      <c r="N411" s="9" t="s">
        <v>63</v>
      </c>
      <c r="O411" s="9" t="s">
        <v>16</v>
      </c>
      <c r="P411" s="9">
        <v>433</v>
      </c>
      <c r="Q411" s="9">
        <v>144</v>
      </c>
      <c r="R411" s="8" t="s">
        <v>17</v>
      </c>
      <c r="S411" s="11">
        <v>42</v>
      </c>
      <c r="T411" s="10">
        <v>0.27</v>
      </c>
    </row>
    <row r="412" spans="1:20" x14ac:dyDescent="0.3">
      <c r="A412" s="7">
        <f t="shared" si="37"/>
        <v>407</v>
      </c>
      <c r="B412" s="8">
        <v>139</v>
      </c>
      <c r="C412" s="9" t="str">
        <f t="shared" si="35"/>
        <v>5070x85185fe3A4e36079818Ba1d12705A9B6898997040xa60AdD2af71a4f50b3F94509E71a1e9DbDeA5dDa557107unidade490027</v>
      </c>
      <c r="D412" s="13"/>
      <c r="E412" s="8" t="s">
        <v>1347</v>
      </c>
      <c r="F412" s="8">
        <f t="shared" si="38"/>
        <v>0</v>
      </c>
      <c r="G412" s="8">
        <f t="shared" si="38"/>
        <v>0</v>
      </c>
      <c r="H412" s="8">
        <f t="shared" si="38"/>
        <v>1</v>
      </c>
      <c r="I412" s="8">
        <f t="shared" si="38"/>
        <v>1</v>
      </c>
      <c r="J412" s="8">
        <f t="shared" si="34"/>
        <v>1</v>
      </c>
      <c r="K412" s="15">
        <v>3.4722215787041932E-5</v>
      </c>
      <c r="M412" s="8">
        <f t="shared" si="36"/>
        <v>507</v>
      </c>
      <c r="N412" s="9" t="s">
        <v>63</v>
      </c>
      <c r="O412" s="9" t="s">
        <v>16</v>
      </c>
      <c r="P412" s="9">
        <v>557</v>
      </c>
      <c r="Q412" s="9">
        <v>107</v>
      </c>
      <c r="R412" s="8" t="s">
        <v>17</v>
      </c>
      <c r="S412" s="11">
        <v>49</v>
      </c>
      <c r="T412" s="10">
        <v>0.27</v>
      </c>
    </row>
    <row r="413" spans="1:20" x14ac:dyDescent="0.3">
      <c r="A413" s="7">
        <f t="shared" si="37"/>
        <v>408</v>
      </c>
      <c r="B413" s="8">
        <v>223</v>
      </c>
      <c r="C413" s="9" t="str">
        <f t="shared" si="35"/>
        <v>5080x85185fe3A4e36079818Ba1d12705A9B6898997040xa60AdD2af71a4f50b3F94509E71a1e9DbDeA5dDa1980168unidade1050027</v>
      </c>
      <c r="D413" s="13"/>
      <c r="E413" s="8" t="s">
        <v>1348</v>
      </c>
      <c r="F413" s="8">
        <f t="shared" si="38"/>
        <v>0</v>
      </c>
      <c r="G413" s="8">
        <f t="shared" si="38"/>
        <v>0</v>
      </c>
      <c r="H413" s="8">
        <f t="shared" si="38"/>
        <v>1</v>
      </c>
      <c r="I413" s="8">
        <f t="shared" si="38"/>
        <v>6</v>
      </c>
      <c r="J413" s="8">
        <f t="shared" si="34"/>
        <v>1</v>
      </c>
      <c r="K413" s="15">
        <v>5.7870369346346706E-5</v>
      </c>
      <c r="M413" s="8">
        <f t="shared" si="36"/>
        <v>508</v>
      </c>
      <c r="N413" s="9" t="s">
        <v>63</v>
      </c>
      <c r="O413" s="9" t="s">
        <v>16</v>
      </c>
      <c r="P413" s="9">
        <v>1980</v>
      </c>
      <c r="Q413" s="9">
        <v>168</v>
      </c>
      <c r="R413" s="8" t="s">
        <v>17</v>
      </c>
      <c r="S413" s="11">
        <v>105</v>
      </c>
      <c r="T413" s="10">
        <v>0.27</v>
      </c>
    </row>
    <row r="414" spans="1:20" x14ac:dyDescent="0.3">
      <c r="A414" s="7">
        <f t="shared" si="37"/>
        <v>409</v>
      </c>
      <c r="B414" s="8">
        <v>0</v>
      </c>
      <c r="C414" s="9" t="str">
        <f t="shared" si="35"/>
        <v>5090x85185fe3A4e36079818Ba1d12705A9B6898997040xa60AdD2af71a4f50b3F94509E71a1e9DbDeA5dDa430180unidade460027</v>
      </c>
      <c r="D414" s="13"/>
      <c r="E414" s="8" t="s">
        <v>1349</v>
      </c>
      <c r="F414" s="8">
        <f t="shared" si="38"/>
        <v>0</v>
      </c>
      <c r="G414" s="8">
        <f t="shared" si="38"/>
        <v>0</v>
      </c>
      <c r="H414" s="8">
        <f t="shared" si="38"/>
        <v>1</v>
      </c>
      <c r="I414" s="8">
        <f t="shared" si="38"/>
        <v>1</v>
      </c>
      <c r="J414" s="8">
        <f t="shared" si="34"/>
        <v>1</v>
      </c>
      <c r="K414" s="15">
        <v>0</v>
      </c>
      <c r="M414" s="8">
        <f t="shared" si="36"/>
        <v>509</v>
      </c>
      <c r="N414" s="9" t="s">
        <v>63</v>
      </c>
      <c r="O414" s="9" t="s">
        <v>16</v>
      </c>
      <c r="P414" s="9">
        <v>430</v>
      </c>
      <c r="Q414" s="9">
        <v>180</v>
      </c>
      <c r="R414" s="8" t="s">
        <v>17</v>
      </c>
      <c r="S414" s="11">
        <v>46</v>
      </c>
      <c r="T414" s="10">
        <v>0.27</v>
      </c>
    </row>
    <row r="415" spans="1:20" x14ac:dyDescent="0.3">
      <c r="A415" s="7">
        <f t="shared" si="37"/>
        <v>410</v>
      </c>
      <c r="B415" s="8">
        <v>351</v>
      </c>
      <c r="C415" s="9" t="str">
        <f t="shared" si="35"/>
        <v>5100x85185fe3A4e36079818Ba1d12705A9B6898997040xa60AdD2af71a4f50b3F94509E71a1e9DbDeA5dDa1692130unidade820027</v>
      </c>
      <c r="D415" s="13"/>
      <c r="E415" s="8" t="s">
        <v>1350</v>
      </c>
      <c r="F415" s="8">
        <f t="shared" si="38"/>
        <v>0</v>
      </c>
      <c r="G415" s="8">
        <f t="shared" si="38"/>
        <v>0</v>
      </c>
      <c r="H415" s="8">
        <f t="shared" si="38"/>
        <v>1</v>
      </c>
      <c r="I415" s="8">
        <f t="shared" si="38"/>
        <v>1</v>
      </c>
      <c r="J415" s="8">
        <f t="shared" si="34"/>
        <v>1</v>
      </c>
      <c r="K415" s="15">
        <v>1.0416666918899864E-4</v>
      </c>
      <c r="M415" s="8">
        <f t="shared" si="36"/>
        <v>510</v>
      </c>
      <c r="N415" s="9" t="s">
        <v>63</v>
      </c>
      <c r="O415" s="9" t="s">
        <v>16</v>
      </c>
      <c r="P415" s="9">
        <v>1692</v>
      </c>
      <c r="Q415" s="9">
        <v>130</v>
      </c>
      <c r="R415" s="8" t="s">
        <v>17</v>
      </c>
      <c r="S415" s="11">
        <v>82</v>
      </c>
      <c r="T415" s="10">
        <v>0.27</v>
      </c>
    </row>
    <row r="416" spans="1:20" x14ac:dyDescent="0.3">
      <c r="A416" s="7">
        <f t="shared" si="37"/>
        <v>411</v>
      </c>
      <c r="B416" s="8">
        <v>236</v>
      </c>
      <c r="C416" s="9" t="str">
        <f t="shared" si="35"/>
        <v>5110x85185fe3A4e36079818Ba1d12705A9B6898997040xa60AdD2af71a4f50b3F94509E71a1e9DbDeA5dDa626197unidade340027</v>
      </c>
      <c r="D416" s="13"/>
      <c r="E416" s="8" t="s">
        <v>1351</v>
      </c>
      <c r="F416" s="8">
        <f t="shared" si="38"/>
        <v>0</v>
      </c>
      <c r="G416" s="8">
        <f t="shared" si="38"/>
        <v>0</v>
      </c>
      <c r="H416" s="8">
        <f t="shared" si="38"/>
        <v>1</v>
      </c>
      <c r="I416" s="8">
        <f t="shared" si="38"/>
        <v>5</v>
      </c>
      <c r="J416" s="8">
        <f t="shared" si="34"/>
        <v>1</v>
      </c>
      <c r="K416" s="15">
        <v>6.9444446125999093E-5</v>
      </c>
      <c r="M416" s="8">
        <f t="shared" si="36"/>
        <v>511</v>
      </c>
      <c r="N416" s="9" t="s">
        <v>63</v>
      </c>
      <c r="O416" s="9" t="s">
        <v>16</v>
      </c>
      <c r="P416" s="9">
        <v>626</v>
      </c>
      <c r="Q416" s="9">
        <v>197</v>
      </c>
      <c r="R416" s="8" t="s">
        <v>17</v>
      </c>
      <c r="S416" s="11">
        <v>34</v>
      </c>
      <c r="T416" s="10">
        <v>0.27</v>
      </c>
    </row>
    <row r="417" spans="1:20" x14ac:dyDescent="0.3">
      <c r="A417" s="7">
        <f t="shared" si="37"/>
        <v>412</v>
      </c>
      <c r="B417" s="8">
        <v>176</v>
      </c>
      <c r="C417" s="9" t="str">
        <f t="shared" si="35"/>
        <v>5120x85185fe3A4e36079818Ba1d12705A9B6898997040xa60AdD2af71a4f50b3F94509E71a1e9DbDeA5dDa392154unidade380027</v>
      </c>
      <c r="D417" s="13"/>
      <c r="E417" s="8" t="s">
        <v>1352</v>
      </c>
      <c r="F417" s="8">
        <f t="shared" si="38"/>
        <v>0</v>
      </c>
      <c r="G417" s="8">
        <f t="shared" si="38"/>
        <v>0</v>
      </c>
      <c r="H417" s="8">
        <f t="shared" si="38"/>
        <v>1</v>
      </c>
      <c r="I417" s="8">
        <f t="shared" si="38"/>
        <v>9</v>
      </c>
      <c r="J417" s="8">
        <f t="shared" si="34"/>
        <v>1</v>
      </c>
      <c r="K417" s="15">
        <v>4.6296292566694319E-5</v>
      </c>
      <c r="M417" s="8">
        <f t="shared" si="36"/>
        <v>512</v>
      </c>
      <c r="N417" s="9" t="s">
        <v>63</v>
      </c>
      <c r="O417" s="9" t="s">
        <v>16</v>
      </c>
      <c r="P417" s="9">
        <v>392</v>
      </c>
      <c r="Q417" s="9">
        <v>154</v>
      </c>
      <c r="R417" s="8" t="s">
        <v>17</v>
      </c>
      <c r="S417" s="11">
        <v>38</v>
      </c>
      <c r="T417" s="10">
        <v>0.27</v>
      </c>
    </row>
    <row r="418" spans="1:20" x14ac:dyDescent="0.3">
      <c r="A418" s="7">
        <f t="shared" si="37"/>
        <v>413</v>
      </c>
      <c r="B418" s="8">
        <v>77</v>
      </c>
      <c r="C418" s="9" t="str">
        <f t="shared" si="35"/>
        <v>5130x85185fe3A4e36079818Ba1d12705A9B6898997040xa60AdD2af71a4f50b3F94509E71a1e9DbDeA5dDa1968167unidade220027</v>
      </c>
      <c r="D418" s="13"/>
      <c r="E418" s="8" t="s">
        <v>1353</v>
      </c>
      <c r="F418" s="8">
        <f t="shared" si="38"/>
        <v>0</v>
      </c>
      <c r="G418" s="8">
        <f t="shared" si="38"/>
        <v>0</v>
      </c>
      <c r="H418" s="8">
        <f t="shared" si="38"/>
        <v>1</v>
      </c>
      <c r="I418" s="8">
        <f t="shared" si="38"/>
        <v>0</v>
      </c>
      <c r="J418" s="8">
        <f t="shared" si="34"/>
        <v>1</v>
      </c>
      <c r="K418" s="15">
        <v>2.314814628334716E-5</v>
      </c>
      <c r="M418" s="8">
        <f t="shared" si="36"/>
        <v>513</v>
      </c>
      <c r="N418" s="9" t="s">
        <v>63</v>
      </c>
      <c r="O418" s="9" t="s">
        <v>16</v>
      </c>
      <c r="P418" s="9">
        <v>1968</v>
      </c>
      <c r="Q418" s="9">
        <v>167</v>
      </c>
      <c r="R418" s="8" t="s">
        <v>17</v>
      </c>
      <c r="S418" s="11">
        <v>22</v>
      </c>
      <c r="T418" s="10">
        <v>0.27</v>
      </c>
    </row>
    <row r="419" spans="1:20" x14ac:dyDescent="0.3">
      <c r="A419" s="7">
        <f t="shared" si="37"/>
        <v>414</v>
      </c>
      <c r="B419" s="8">
        <v>163</v>
      </c>
      <c r="C419" s="9" t="str">
        <f t="shared" si="35"/>
        <v>5140x85185fe3A4e36079818Ba1d12705A9B6898997040xa60AdD2af71a4f50b3F94509E71a1e9DbDeA5dDa668129unidade730027</v>
      </c>
      <c r="D419" s="13"/>
      <c r="E419" s="8" t="s">
        <v>1354</v>
      </c>
      <c r="F419" s="8">
        <f t="shared" si="38"/>
        <v>0</v>
      </c>
      <c r="G419" s="8">
        <f t="shared" si="38"/>
        <v>0</v>
      </c>
      <c r="H419" s="8">
        <f t="shared" si="38"/>
        <v>1</v>
      </c>
      <c r="I419" s="8">
        <f t="shared" si="38"/>
        <v>7</v>
      </c>
      <c r="J419" s="8">
        <f t="shared" si="34"/>
        <v>1</v>
      </c>
      <c r="K419" s="15">
        <v>4.6296299842651933E-5</v>
      </c>
      <c r="M419" s="8">
        <f t="shared" si="36"/>
        <v>514</v>
      </c>
      <c r="N419" s="9" t="s">
        <v>63</v>
      </c>
      <c r="O419" s="9" t="s">
        <v>16</v>
      </c>
      <c r="P419" s="9">
        <v>668</v>
      </c>
      <c r="Q419" s="9">
        <v>129</v>
      </c>
      <c r="R419" s="8" t="s">
        <v>17</v>
      </c>
      <c r="S419" s="11">
        <v>73</v>
      </c>
      <c r="T419" s="10">
        <v>0.27</v>
      </c>
    </row>
    <row r="420" spans="1:20" x14ac:dyDescent="0.3">
      <c r="A420" s="7">
        <f t="shared" si="37"/>
        <v>415</v>
      </c>
      <c r="B420" s="8">
        <v>216</v>
      </c>
      <c r="C420" s="9" t="str">
        <f t="shared" si="35"/>
        <v>5150x85185fe3A4e36079818Ba1d12705A9B6898997040xa60AdD2af71a4f50b3F94509E71a1e9DbDeA5dDa1361134unidade1100027</v>
      </c>
      <c r="D420" s="13"/>
      <c r="E420" s="8" t="s">
        <v>1355</v>
      </c>
      <c r="F420" s="8">
        <f t="shared" si="38"/>
        <v>0</v>
      </c>
      <c r="G420" s="8">
        <f t="shared" si="38"/>
        <v>0</v>
      </c>
      <c r="H420" s="8">
        <f t="shared" si="38"/>
        <v>1</v>
      </c>
      <c r="I420" s="8">
        <f t="shared" si="38"/>
        <v>5</v>
      </c>
      <c r="J420" s="8">
        <f t="shared" si="34"/>
        <v>1</v>
      </c>
      <c r="K420" s="15">
        <v>5.7870369346346706E-5</v>
      </c>
      <c r="M420" s="8">
        <f t="shared" si="36"/>
        <v>515</v>
      </c>
      <c r="N420" s="9" t="s">
        <v>63</v>
      </c>
      <c r="O420" s="9" t="s">
        <v>16</v>
      </c>
      <c r="P420" s="9">
        <v>1361</v>
      </c>
      <c r="Q420" s="9">
        <v>134</v>
      </c>
      <c r="R420" s="8" t="s">
        <v>17</v>
      </c>
      <c r="S420" s="11">
        <v>110</v>
      </c>
      <c r="T420" s="10">
        <v>0.27</v>
      </c>
    </row>
    <row r="421" spans="1:20" x14ac:dyDescent="0.3">
      <c r="A421" s="7">
        <f t="shared" si="37"/>
        <v>416</v>
      </c>
      <c r="B421" s="8">
        <v>74</v>
      </c>
      <c r="C421" s="9" t="str">
        <f t="shared" si="35"/>
        <v>5160x85185fe3A4e36079818Ba1d12705A9B6898997040xa60AdD2af71a4f50b3F94509E71a1e9DbDeA5dDa430153unidade550027</v>
      </c>
      <c r="D421" s="13"/>
      <c r="E421" s="8" t="s">
        <v>1356</v>
      </c>
      <c r="F421" s="8">
        <f t="shared" si="38"/>
        <v>0</v>
      </c>
      <c r="G421" s="8">
        <f t="shared" si="38"/>
        <v>0</v>
      </c>
      <c r="H421" s="8">
        <f t="shared" si="38"/>
        <v>4</v>
      </c>
      <c r="I421" s="8">
        <f t="shared" si="38"/>
        <v>5</v>
      </c>
      <c r="J421" s="8">
        <f t="shared" si="34"/>
        <v>4</v>
      </c>
      <c r="K421" s="15">
        <v>2.314814628334716E-5</v>
      </c>
      <c r="M421" s="8">
        <f t="shared" si="36"/>
        <v>516</v>
      </c>
      <c r="N421" s="9" t="s">
        <v>63</v>
      </c>
      <c r="O421" s="9" t="s">
        <v>16</v>
      </c>
      <c r="P421" s="9">
        <v>430</v>
      </c>
      <c r="Q421" s="9">
        <v>153</v>
      </c>
      <c r="R421" s="8" t="s">
        <v>17</v>
      </c>
      <c r="S421" s="11">
        <v>55</v>
      </c>
      <c r="T421" s="10">
        <v>0.27</v>
      </c>
    </row>
    <row r="422" spans="1:20" x14ac:dyDescent="0.3">
      <c r="A422" s="7">
        <f t="shared" si="37"/>
        <v>417</v>
      </c>
      <c r="B422" s="8">
        <v>1</v>
      </c>
      <c r="C422" s="9" t="str">
        <f t="shared" si="35"/>
        <v>5170x85185fe3A4e36079818Ba1d12705A9B6898997040xa60AdD2af71a4f50b3F94509E71a1e9DbDeA5dDa1246101unidade850027</v>
      </c>
      <c r="D422" s="13"/>
      <c r="E422" s="8" t="s">
        <v>1357</v>
      </c>
      <c r="F422" s="8">
        <f t="shared" si="38"/>
        <v>0</v>
      </c>
      <c r="G422" s="8">
        <f t="shared" si="38"/>
        <v>0</v>
      </c>
      <c r="H422" s="8">
        <f t="shared" si="38"/>
        <v>1</v>
      </c>
      <c r="I422" s="8">
        <f t="shared" si="38"/>
        <v>2</v>
      </c>
      <c r="J422" s="8">
        <f t="shared" si="34"/>
        <v>1</v>
      </c>
      <c r="K422" s="15">
        <v>0</v>
      </c>
      <c r="M422" s="8">
        <f t="shared" si="36"/>
        <v>517</v>
      </c>
      <c r="N422" s="9" t="s">
        <v>63</v>
      </c>
      <c r="O422" s="9" t="s">
        <v>16</v>
      </c>
      <c r="P422" s="9">
        <v>1246</v>
      </c>
      <c r="Q422" s="9">
        <v>101</v>
      </c>
      <c r="R422" s="8" t="s">
        <v>17</v>
      </c>
      <c r="S422" s="11">
        <v>85</v>
      </c>
      <c r="T422" s="10">
        <v>0.27</v>
      </c>
    </row>
    <row r="423" spans="1:20" x14ac:dyDescent="0.3">
      <c r="A423" s="7">
        <f t="shared" si="37"/>
        <v>418</v>
      </c>
      <c r="B423" s="8">
        <v>129</v>
      </c>
      <c r="C423" s="9" t="str">
        <f t="shared" si="35"/>
        <v>5180x85185fe3A4e36079818Ba1d12705A9B6898997040xa60AdD2af71a4f50b3F94509E71a1e9DbDeA5dDa1171148unidade600027</v>
      </c>
      <c r="D423" s="13"/>
      <c r="E423" s="8" t="s">
        <v>1358</v>
      </c>
      <c r="F423" s="8">
        <f t="shared" si="38"/>
        <v>0</v>
      </c>
      <c r="G423" s="8">
        <f t="shared" si="38"/>
        <v>0</v>
      </c>
      <c r="H423" s="8">
        <f t="shared" si="38"/>
        <v>4</v>
      </c>
      <c r="I423" s="8">
        <f t="shared" si="38"/>
        <v>0</v>
      </c>
      <c r="J423" s="8">
        <f t="shared" si="34"/>
        <v>4</v>
      </c>
      <c r="K423" s="15">
        <v>4.6296299842651933E-5</v>
      </c>
      <c r="M423" s="8">
        <f t="shared" si="36"/>
        <v>518</v>
      </c>
      <c r="N423" s="9" t="s">
        <v>63</v>
      </c>
      <c r="O423" s="9" t="s">
        <v>16</v>
      </c>
      <c r="P423" s="9">
        <v>1171</v>
      </c>
      <c r="Q423" s="9">
        <v>148</v>
      </c>
      <c r="R423" s="8" t="s">
        <v>17</v>
      </c>
      <c r="S423" s="11">
        <v>60</v>
      </c>
      <c r="T423" s="10">
        <v>0.27</v>
      </c>
    </row>
    <row r="424" spans="1:20" x14ac:dyDescent="0.3">
      <c r="A424" s="7">
        <f t="shared" si="37"/>
        <v>419</v>
      </c>
      <c r="B424" s="8">
        <v>464</v>
      </c>
      <c r="C424" s="9" t="str">
        <f t="shared" si="35"/>
        <v>5190x85185fe3A4e36079818Ba1d12705A9B6898997040xa60AdD2af71a4f50b3F94509E71a1e9DbDeA5dDa1265104unidade690027</v>
      </c>
      <c r="D424" s="13"/>
      <c r="E424" s="8" t="s">
        <v>1359</v>
      </c>
      <c r="F424" s="8">
        <f t="shared" si="38"/>
        <v>0</v>
      </c>
      <c r="G424" s="8">
        <f t="shared" si="38"/>
        <v>0</v>
      </c>
      <c r="H424" s="8">
        <f t="shared" si="38"/>
        <v>1</v>
      </c>
      <c r="I424" s="8">
        <f t="shared" si="38"/>
        <v>1</v>
      </c>
      <c r="J424" s="8">
        <f t="shared" si="34"/>
        <v>1</v>
      </c>
      <c r="K424" s="15">
        <v>1.273148154723458E-4</v>
      </c>
      <c r="M424" s="8">
        <f t="shared" si="36"/>
        <v>519</v>
      </c>
      <c r="N424" s="9" t="s">
        <v>63</v>
      </c>
      <c r="O424" s="9" t="s">
        <v>16</v>
      </c>
      <c r="P424" s="9">
        <v>1265</v>
      </c>
      <c r="Q424" s="9">
        <v>104</v>
      </c>
      <c r="R424" s="8" t="s">
        <v>17</v>
      </c>
      <c r="S424" s="11">
        <v>69</v>
      </c>
      <c r="T424" s="10">
        <v>0.27</v>
      </c>
    </row>
    <row r="425" spans="1:20" x14ac:dyDescent="0.3">
      <c r="A425" s="7">
        <f t="shared" si="37"/>
        <v>420</v>
      </c>
      <c r="B425" s="8">
        <v>74</v>
      </c>
      <c r="C425" s="9" t="str">
        <f t="shared" si="35"/>
        <v>5200x85185fe3A4e36079818Ba1d12705A9B6898997040xa60AdD2af71a4f50b3F94509E71a1e9DbDeA5dDa1598152unidade440027</v>
      </c>
      <c r="D425" s="13"/>
      <c r="E425" s="8" t="s">
        <v>1360</v>
      </c>
      <c r="F425" s="8">
        <f t="shared" si="38"/>
        <v>0</v>
      </c>
      <c r="G425" s="8">
        <f t="shared" si="38"/>
        <v>0</v>
      </c>
      <c r="H425" s="8">
        <f t="shared" si="38"/>
        <v>5</v>
      </c>
      <c r="I425" s="8">
        <f t="shared" si="38"/>
        <v>0</v>
      </c>
      <c r="J425" s="8">
        <f t="shared" si="34"/>
        <v>5</v>
      </c>
      <c r="K425" s="15">
        <v>2.314814628334716E-5</v>
      </c>
      <c r="M425" s="8">
        <f t="shared" si="36"/>
        <v>520</v>
      </c>
      <c r="N425" s="9" t="s">
        <v>63</v>
      </c>
      <c r="O425" s="9" t="s">
        <v>16</v>
      </c>
      <c r="P425" s="9">
        <v>1598</v>
      </c>
      <c r="Q425" s="9">
        <v>152</v>
      </c>
      <c r="R425" s="8" t="s">
        <v>17</v>
      </c>
      <c r="S425" s="11">
        <v>44</v>
      </c>
      <c r="T425" s="10">
        <v>0.27</v>
      </c>
    </row>
    <row r="426" spans="1:20" x14ac:dyDescent="0.3">
      <c r="A426" s="7">
        <f t="shared" si="37"/>
        <v>421</v>
      </c>
      <c r="B426" s="8">
        <v>659</v>
      </c>
      <c r="C426" s="9" t="str">
        <f t="shared" si="35"/>
        <v>5210x85185fe3A4e36079818Ba1d12705A9B6898997040xa60AdD2af71a4f50b3F94509E71a1e9DbDeA5dDa424124unidade520027</v>
      </c>
      <c r="D426" s="13"/>
      <c r="E426" s="8" t="s">
        <v>1361</v>
      </c>
      <c r="F426" s="8">
        <f t="shared" si="38"/>
        <v>0</v>
      </c>
      <c r="G426" s="8">
        <f t="shared" si="38"/>
        <v>0</v>
      </c>
      <c r="H426" s="8">
        <f t="shared" si="38"/>
        <v>4</v>
      </c>
      <c r="I426" s="8">
        <f t="shared" si="38"/>
        <v>1</v>
      </c>
      <c r="J426" s="8">
        <f t="shared" ref="J426:J489" si="39">SUM(F426:H426)</f>
        <v>4</v>
      </c>
      <c r="K426" s="15">
        <v>1.8518518481869251E-4</v>
      </c>
      <c r="M426" s="8">
        <f t="shared" si="36"/>
        <v>521</v>
      </c>
      <c r="N426" s="9" t="s">
        <v>63</v>
      </c>
      <c r="O426" s="9" t="s">
        <v>16</v>
      </c>
      <c r="P426" s="9">
        <v>424</v>
      </c>
      <c r="Q426" s="9">
        <v>124</v>
      </c>
      <c r="R426" s="8" t="s">
        <v>17</v>
      </c>
      <c r="S426" s="11">
        <v>52</v>
      </c>
      <c r="T426" s="10">
        <v>0.27</v>
      </c>
    </row>
    <row r="427" spans="1:20" x14ac:dyDescent="0.3">
      <c r="A427" s="7">
        <f t="shared" si="37"/>
        <v>422</v>
      </c>
      <c r="B427" s="8">
        <v>218</v>
      </c>
      <c r="C427" s="9" t="str">
        <f t="shared" si="35"/>
        <v>5220x85185fe3A4e36079818Ba1d12705A9B6898997040xa60AdD2af71a4f50b3F94509E71a1e9DbDeA5dDa1096131unidade1070027</v>
      </c>
      <c r="D427" s="13"/>
      <c r="E427" s="8" t="s">
        <v>1362</v>
      </c>
      <c r="F427" s="8">
        <f t="shared" si="38"/>
        <v>0</v>
      </c>
      <c r="G427" s="8">
        <f t="shared" si="38"/>
        <v>0</v>
      </c>
      <c r="H427" s="8">
        <f t="shared" si="38"/>
        <v>2</v>
      </c>
      <c r="I427" s="8">
        <f t="shared" si="38"/>
        <v>3</v>
      </c>
      <c r="J427" s="8">
        <f t="shared" si="39"/>
        <v>2</v>
      </c>
      <c r="K427" s="15">
        <v>6.9444446125999093E-5</v>
      </c>
      <c r="M427" s="8">
        <f t="shared" si="36"/>
        <v>522</v>
      </c>
      <c r="N427" s="9" t="s">
        <v>63</v>
      </c>
      <c r="O427" s="9" t="s">
        <v>16</v>
      </c>
      <c r="P427" s="9">
        <v>1096</v>
      </c>
      <c r="Q427" s="9">
        <v>131</v>
      </c>
      <c r="R427" s="8" t="s">
        <v>17</v>
      </c>
      <c r="S427" s="11">
        <v>107</v>
      </c>
      <c r="T427" s="10">
        <v>0.27</v>
      </c>
    </row>
    <row r="428" spans="1:20" x14ac:dyDescent="0.3">
      <c r="A428" s="7">
        <f t="shared" si="37"/>
        <v>423</v>
      </c>
      <c r="B428" s="8">
        <v>452</v>
      </c>
      <c r="C428" s="9" t="str">
        <f t="shared" si="35"/>
        <v>5230x85185fe3A4e36079818Ba1d12705A9B6898997040xa60AdD2af71a4f50b3F94509E71a1e9DbDeA5dDa1420176unidade1090027</v>
      </c>
      <c r="D428" s="13"/>
      <c r="E428" s="8" t="s">
        <v>890</v>
      </c>
      <c r="F428" s="8">
        <f t="shared" si="38"/>
        <v>0</v>
      </c>
      <c r="G428" s="8">
        <f t="shared" si="38"/>
        <v>0</v>
      </c>
      <c r="H428" s="8">
        <f t="shared" si="38"/>
        <v>0</v>
      </c>
      <c r="I428" s="8">
        <f t="shared" si="38"/>
        <v>1</v>
      </c>
      <c r="J428" s="8">
        <f t="shared" si="39"/>
        <v>0</v>
      </c>
      <c r="K428" s="15">
        <v>1.1574073869269341E-4</v>
      </c>
      <c r="M428" s="8">
        <f t="shared" si="36"/>
        <v>523</v>
      </c>
      <c r="N428" s="9" t="s">
        <v>63</v>
      </c>
      <c r="O428" s="9" t="s">
        <v>16</v>
      </c>
      <c r="P428" s="9">
        <v>1420</v>
      </c>
      <c r="Q428" s="9">
        <v>176</v>
      </c>
      <c r="R428" s="8" t="s">
        <v>17</v>
      </c>
      <c r="S428" s="11">
        <v>109</v>
      </c>
      <c r="T428" s="10">
        <v>0.27</v>
      </c>
    </row>
    <row r="429" spans="1:20" x14ac:dyDescent="0.3">
      <c r="A429" s="7">
        <f t="shared" si="37"/>
        <v>424</v>
      </c>
      <c r="B429" s="8">
        <v>104</v>
      </c>
      <c r="C429" s="9" t="str">
        <f t="shared" si="35"/>
        <v>5240x85185fe3A4e36079818Ba1d12705A9B6898997040xa60AdD2af71a4f50b3F94509E71a1e9DbDeA5dDa839120unidade510027</v>
      </c>
      <c r="D429" s="13"/>
      <c r="E429" s="8" t="s">
        <v>1363</v>
      </c>
      <c r="F429" s="8">
        <f t="shared" si="38"/>
        <v>0</v>
      </c>
      <c r="G429" s="8">
        <f t="shared" si="38"/>
        <v>0</v>
      </c>
      <c r="H429" s="8">
        <f t="shared" si="38"/>
        <v>7</v>
      </c>
      <c r="I429" s="8">
        <f t="shared" si="38"/>
        <v>6</v>
      </c>
      <c r="J429" s="8">
        <f t="shared" si="39"/>
        <v>7</v>
      </c>
      <c r="K429" s="15">
        <v>3.4722223062999547E-5</v>
      </c>
      <c r="M429" s="8">
        <f t="shared" si="36"/>
        <v>524</v>
      </c>
      <c r="N429" s="9" t="s">
        <v>63</v>
      </c>
      <c r="O429" s="9" t="s">
        <v>16</v>
      </c>
      <c r="P429" s="9">
        <v>839</v>
      </c>
      <c r="Q429" s="9">
        <v>120</v>
      </c>
      <c r="R429" s="8" t="s">
        <v>17</v>
      </c>
      <c r="S429" s="11">
        <v>51</v>
      </c>
      <c r="T429" s="10">
        <v>0.27</v>
      </c>
    </row>
    <row r="430" spans="1:20" x14ac:dyDescent="0.3">
      <c r="A430" s="7">
        <f t="shared" si="37"/>
        <v>425</v>
      </c>
      <c r="B430" s="8">
        <v>297</v>
      </c>
      <c r="C430" s="9" t="str">
        <f t="shared" si="35"/>
        <v>5250x85185fe3A4e36079818Ba1d12705A9B6898997040xa60AdD2af71a4f50b3F94509E71a1e9DbDeA5dDa1293135unidade580027</v>
      </c>
      <c r="D430" s="13"/>
      <c r="E430" s="8" t="s">
        <v>1364</v>
      </c>
      <c r="F430" s="8">
        <f t="shared" si="38"/>
        <v>0</v>
      </c>
      <c r="G430" s="8">
        <f t="shared" si="38"/>
        <v>0</v>
      </c>
      <c r="H430" s="8">
        <f t="shared" si="38"/>
        <v>1</v>
      </c>
      <c r="I430" s="8">
        <f t="shared" si="38"/>
        <v>3</v>
      </c>
      <c r="J430" s="8">
        <f t="shared" si="39"/>
        <v>1</v>
      </c>
      <c r="K430" s="15">
        <v>8.1018515629693866E-5</v>
      </c>
      <c r="M430" s="8">
        <f t="shared" si="36"/>
        <v>525</v>
      </c>
      <c r="N430" s="9" t="s">
        <v>63</v>
      </c>
      <c r="O430" s="9" t="s">
        <v>16</v>
      </c>
      <c r="P430" s="9">
        <v>1293</v>
      </c>
      <c r="Q430" s="9">
        <v>135</v>
      </c>
      <c r="R430" s="8" t="s">
        <v>17</v>
      </c>
      <c r="S430" s="11">
        <v>58</v>
      </c>
      <c r="T430" s="10">
        <v>0.27</v>
      </c>
    </row>
    <row r="431" spans="1:20" x14ac:dyDescent="0.3">
      <c r="A431" s="7">
        <f t="shared" si="37"/>
        <v>426</v>
      </c>
      <c r="B431" s="8">
        <v>538</v>
      </c>
      <c r="C431" s="9" t="str">
        <f t="shared" si="35"/>
        <v>5260x85185fe3A4e36079818Ba1d12705A9B6898997040xa60AdD2af71a4f50b3F94509E71a1e9DbDeA5dDa1696161unidade460027</v>
      </c>
      <c r="D431" s="13"/>
      <c r="E431" s="8" t="s">
        <v>1365</v>
      </c>
      <c r="F431" s="8">
        <f t="shared" si="38"/>
        <v>0</v>
      </c>
      <c r="G431" s="8">
        <f t="shared" si="38"/>
        <v>0</v>
      </c>
      <c r="H431" s="8">
        <f t="shared" si="38"/>
        <v>7</v>
      </c>
      <c r="I431" s="8">
        <f t="shared" si="38"/>
        <v>8</v>
      </c>
      <c r="J431" s="8">
        <f t="shared" si="39"/>
        <v>7</v>
      </c>
      <c r="K431" s="15">
        <v>1.5046296903165057E-4</v>
      </c>
      <c r="M431" s="8">
        <f t="shared" si="36"/>
        <v>526</v>
      </c>
      <c r="N431" s="9" t="s">
        <v>63</v>
      </c>
      <c r="O431" s="9" t="s">
        <v>16</v>
      </c>
      <c r="P431" s="9">
        <v>1696</v>
      </c>
      <c r="Q431" s="9">
        <v>161</v>
      </c>
      <c r="R431" s="8" t="s">
        <v>17</v>
      </c>
      <c r="S431" s="11">
        <v>46</v>
      </c>
      <c r="T431" s="10">
        <v>0.27</v>
      </c>
    </row>
    <row r="432" spans="1:20" x14ac:dyDescent="0.3">
      <c r="A432" s="7">
        <f t="shared" si="37"/>
        <v>427</v>
      </c>
      <c r="B432" s="8">
        <v>248</v>
      </c>
      <c r="C432" s="9" t="str">
        <f t="shared" si="35"/>
        <v>5270x85185fe3A4e36079818Ba1d12705A9B6898997040xa60AdD2af71a4f50b3F94509E71a1e9DbDeA5dDa1372165unidade480027</v>
      </c>
      <c r="D432" s="13"/>
      <c r="E432" s="8" t="s">
        <v>1366</v>
      </c>
      <c r="F432" s="8">
        <f t="shared" si="38"/>
        <v>0</v>
      </c>
      <c r="G432" s="8">
        <f t="shared" si="38"/>
        <v>0</v>
      </c>
      <c r="H432" s="8">
        <f t="shared" si="38"/>
        <v>4</v>
      </c>
      <c r="I432" s="8">
        <f t="shared" si="38"/>
        <v>0</v>
      </c>
      <c r="J432" s="8">
        <f t="shared" si="39"/>
        <v>4</v>
      </c>
      <c r="K432" s="15">
        <v>6.9444438850041479E-5</v>
      </c>
      <c r="M432" s="8">
        <f t="shared" si="36"/>
        <v>527</v>
      </c>
      <c r="N432" s="9" t="s">
        <v>63</v>
      </c>
      <c r="O432" s="9" t="s">
        <v>16</v>
      </c>
      <c r="P432" s="9">
        <v>1372</v>
      </c>
      <c r="Q432" s="9">
        <v>165</v>
      </c>
      <c r="R432" s="8" t="s">
        <v>17</v>
      </c>
      <c r="S432" s="11">
        <v>48</v>
      </c>
      <c r="T432" s="10">
        <v>0.27</v>
      </c>
    </row>
    <row r="433" spans="1:20" x14ac:dyDescent="0.3">
      <c r="A433" s="7">
        <f t="shared" si="37"/>
        <v>428</v>
      </c>
      <c r="B433" s="8">
        <v>716</v>
      </c>
      <c r="C433" s="9" t="str">
        <f t="shared" si="35"/>
        <v>5280x85185fe3A4e36079818Ba1d12705A9B6898997040xa60AdD2af71a4f50b3F94509E71a1e9DbDeA5dDa2000198unidade610027</v>
      </c>
      <c r="D433" s="13"/>
      <c r="E433" s="8" t="s">
        <v>1367</v>
      </c>
      <c r="F433" s="8">
        <f t="shared" si="38"/>
        <v>0</v>
      </c>
      <c r="G433" s="8">
        <f t="shared" si="38"/>
        <v>0</v>
      </c>
      <c r="H433" s="8">
        <f t="shared" si="38"/>
        <v>4</v>
      </c>
      <c r="I433" s="8">
        <f t="shared" si="38"/>
        <v>3</v>
      </c>
      <c r="J433" s="8">
        <f t="shared" si="39"/>
        <v>4</v>
      </c>
      <c r="K433" s="15">
        <v>2.0833333837799728E-4</v>
      </c>
      <c r="M433" s="8">
        <f t="shared" si="36"/>
        <v>528</v>
      </c>
      <c r="N433" s="9" t="s">
        <v>63</v>
      </c>
      <c r="O433" s="9" t="s">
        <v>16</v>
      </c>
      <c r="P433" s="9">
        <v>2000</v>
      </c>
      <c r="Q433" s="9">
        <v>198</v>
      </c>
      <c r="R433" s="8" t="s">
        <v>17</v>
      </c>
      <c r="S433" s="11">
        <v>61</v>
      </c>
      <c r="T433" s="10">
        <v>0.27</v>
      </c>
    </row>
    <row r="434" spans="1:20" x14ac:dyDescent="0.3">
      <c r="A434" s="7">
        <f t="shared" si="37"/>
        <v>429</v>
      </c>
      <c r="B434" s="8">
        <v>51</v>
      </c>
      <c r="C434" s="9" t="str">
        <f t="shared" si="35"/>
        <v>5290x85185fe3A4e36079818Ba1d12705A9B6898997040xa60AdD2af71a4f50b3F94509E71a1e9DbDeA5dDa1384124unidade790027</v>
      </c>
      <c r="D434" s="13"/>
      <c r="E434" s="8" t="s">
        <v>1368</v>
      </c>
      <c r="F434" s="8">
        <f t="shared" si="38"/>
        <v>0</v>
      </c>
      <c r="G434" s="8">
        <f t="shared" si="38"/>
        <v>0</v>
      </c>
      <c r="H434" s="8">
        <f t="shared" si="38"/>
        <v>1</v>
      </c>
      <c r="I434" s="8">
        <f t="shared" si="38"/>
        <v>6</v>
      </c>
      <c r="J434" s="8">
        <f t="shared" si="39"/>
        <v>1</v>
      </c>
      <c r="K434" s="15">
        <v>1.1574069503694773E-5</v>
      </c>
      <c r="M434" s="8">
        <f t="shared" si="36"/>
        <v>529</v>
      </c>
      <c r="N434" s="9" t="s">
        <v>63</v>
      </c>
      <c r="O434" s="9" t="s">
        <v>16</v>
      </c>
      <c r="P434" s="9">
        <v>1384</v>
      </c>
      <c r="Q434" s="9">
        <v>124</v>
      </c>
      <c r="R434" s="8" t="s">
        <v>17</v>
      </c>
      <c r="S434" s="11">
        <v>79</v>
      </c>
      <c r="T434" s="10">
        <v>0.27</v>
      </c>
    </row>
    <row r="435" spans="1:20" x14ac:dyDescent="0.3">
      <c r="A435" s="7">
        <f t="shared" si="37"/>
        <v>430</v>
      </c>
      <c r="B435" s="8">
        <v>96</v>
      </c>
      <c r="C435" s="9" t="str">
        <f t="shared" si="35"/>
        <v>5300x85185fe3A4e36079818Ba1d12705A9B6898997040xa60AdD2af71a4f50b3F94509E71a1e9DbDeA5dDa763183unidade1110027</v>
      </c>
      <c r="D435" s="13"/>
      <c r="E435" s="8" t="s">
        <v>1369</v>
      </c>
      <c r="F435" s="8">
        <f t="shared" si="38"/>
        <v>0</v>
      </c>
      <c r="G435" s="8">
        <f t="shared" si="38"/>
        <v>0</v>
      </c>
      <c r="H435" s="8">
        <f t="shared" si="38"/>
        <v>2</v>
      </c>
      <c r="I435" s="8">
        <f t="shared" si="38"/>
        <v>1</v>
      </c>
      <c r="J435" s="8">
        <f t="shared" si="39"/>
        <v>2</v>
      </c>
      <c r="K435" s="15">
        <v>3.4722223062999547E-5</v>
      </c>
      <c r="M435" s="8">
        <f t="shared" si="36"/>
        <v>530</v>
      </c>
      <c r="N435" s="9" t="s">
        <v>63</v>
      </c>
      <c r="O435" s="9" t="s">
        <v>16</v>
      </c>
      <c r="P435" s="9">
        <v>763</v>
      </c>
      <c r="Q435" s="9">
        <v>183</v>
      </c>
      <c r="R435" s="8" t="s">
        <v>17</v>
      </c>
      <c r="S435" s="11">
        <v>111</v>
      </c>
      <c r="T435" s="10">
        <v>0.27</v>
      </c>
    </row>
    <row r="436" spans="1:20" x14ac:dyDescent="0.3">
      <c r="A436" s="7">
        <f t="shared" si="37"/>
        <v>431</v>
      </c>
      <c r="B436" s="8">
        <v>72</v>
      </c>
      <c r="C436" s="9" t="str">
        <f t="shared" si="35"/>
        <v>5310x85185fe3A4e36079818Ba1d12705A9B6898997040xa60AdD2af71a4f50b3F94509E71a1e9DbDeA5dDa1200119unidade310027</v>
      </c>
      <c r="D436" s="13"/>
      <c r="E436" s="8" t="s">
        <v>1370</v>
      </c>
      <c r="F436" s="8">
        <f t="shared" si="38"/>
        <v>0</v>
      </c>
      <c r="G436" s="8">
        <f t="shared" si="38"/>
        <v>0</v>
      </c>
      <c r="H436" s="8">
        <f t="shared" si="38"/>
        <v>7</v>
      </c>
      <c r="I436" s="8">
        <f t="shared" si="38"/>
        <v>7</v>
      </c>
      <c r="J436" s="8">
        <f t="shared" si="39"/>
        <v>7</v>
      </c>
      <c r="K436" s="15">
        <v>1.1574076779652387E-5</v>
      </c>
      <c r="M436" s="8">
        <f t="shared" si="36"/>
        <v>531</v>
      </c>
      <c r="N436" s="9" t="s">
        <v>63</v>
      </c>
      <c r="O436" s="9" t="s">
        <v>16</v>
      </c>
      <c r="P436" s="9">
        <v>1200</v>
      </c>
      <c r="Q436" s="9">
        <v>119</v>
      </c>
      <c r="R436" s="8" t="s">
        <v>17</v>
      </c>
      <c r="S436" s="11">
        <v>31</v>
      </c>
      <c r="T436" s="10">
        <v>0.27</v>
      </c>
    </row>
    <row r="437" spans="1:20" x14ac:dyDescent="0.3">
      <c r="A437" s="7">
        <f t="shared" si="37"/>
        <v>432</v>
      </c>
      <c r="B437" s="8">
        <v>134</v>
      </c>
      <c r="C437" s="9" t="str">
        <f t="shared" si="35"/>
        <v>5320x85185fe3A4e36079818Ba1d12705A9B6898997040xa60AdD2af71a4f50b3F94509E71a1e9DbDeA5dDa1340122unidade1060027</v>
      </c>
      <c r="D437" s="13"/>
      <c r="E437" s="8" t="s">
        <v>1371</v>
      </c>
      <c r="F437" s="8">
        <f t="shared" si="38"/>
        <v>0</v>
      </c>
      <c r="G437" s="8">
        <f t="shared" si="38"/>
        <v>0</v>
      </c>
      <c r="H437" s="8">
        <f t="shared" si="38"/>
        <v>1</v>
      </c>
      <c r="I437" s="8">
        <f t="shared" si="38"/>
        <v>1</v>
      </c>
      <c r="J437" s="8">
        <f t="shared" si="39"/>
        <v>1</v>
      </c>
      <c r="K437" s="15">
        <v>4.6296292566694319E-5</v>
      </c>
      <c r="M437" s="8">
        <f t="shared" si="36"/>
        <v>532</v>
      </c>
      <c r="N437" s="9" t="s">
        <v>63</v>
      </c>
      <c r="O437" s="9" t="s">
        <v>16</v>
      </c>
      <c r="P437" s="9">
        <v>1340</v>
      </c>
      <c r="Q437" s="9">
        <v>122</v>
      </c>
      <c r="R437" s="8" t="s">
        <v>17</v>
      </c>
      <c r="S437" s="11">
        <v>106</v>
      </c>
      <c r="T437" s="10">
        <v>0.27</v>
      </c>
    </row>
    <row r="438" spans="1:20" x14ac:dyDescent="0.3">
      <c r="A438" s="7">
        <f t="shared" si="37"/>
        <v>433</v>
      </c>
      <c r="B438" s="8">
        <v>86</v>
      </c>
      <c r="C438" s="9" t="str">
        <f t="shared" si="35"/>
        <v>5330x85185fe3A4e36079818Ba1d12705A9B6898997040xa60AdD2af71a4f50b3F94509E71a1e9DbDeA5dDa783145unidade900027</v>
      </c>
      <c r="D438" s="13"/>
      <c r="E438" s="8" t="s">
        <v>1372</v>
      </c>
      <c r="F438" s="8">
        <f t="shared" si="38"/>
        <v>0</v>
      </c>
      <c r="G438" s="8">
        <f t="shared" si="38"/>
        <v>0</v>
      </c>
      <c r="H438" s="8">
        <f t="shared" si="38"/>
        <v>8</v>
      </c>
      <c r="I438" s="8">
        <f t="shared" si="38"/>
        <v>5</v>
      </c>
      <c r="J438" s="8">
        <f t="shared" si="39"/>
        <v>8</v>
      </c>
      <c r="K438" s="15">
        <v>2.3148153559304774E-5</v>
      </c>
      <c r="M438" s="8">
        <f t="shared" si="36"/>
        <v>533</v>
      </c>
      <c r="N438" s="9" t="s">
        <v>63</v>
      </c>
      <c r="O438" s="9" t="s">
        <v>16</v>
      </c>
      <c r="P438" s="9">
        <v>783</v>
      </c>
      <c r="Q438" s="9">
        <v>145</v>
      </c>
      <c r="R438" s="8" t="s">
        <v>17</v>
      </c>
      <c r="S438" s="11">
        <v>90</v>
      </c>
      <c r="T438" s="10">
        <v>0.27</v>
      </c>
    </row>
    <row r="439" spans="1:20" x14ac:dyDescent="0.3">
      <c r="A439" s="7">
        <f t="shared" si="37"/>
        <v>434</v>
      </c>
      <c r="B439" s="8">
        <v>129</v>
      </c>
      <c r="C439" s="9" t="str">
        <f t="shared" si="35"/>
        <v>5340x85185fe3A4e36079818Ba1d12705A9B6898997040xa60AdD2af71a4f50b3F94509E71a1e9DbDeA5dDa1766167unidade860027</v>
      </c>
      <c r="D439" s="13"/>
      <c r="E439" s="8" t="s">
        <v>1373</v>
      </c>
      <c r="F439" s="8">
        <f t="shared" si="38"/>
        <v>0</v>
      </c>
      <c r="G439" s="8">
        <f t="shared" si="38"/>
        <v>0</v>
      </c>
      <c r="H439" s="8">
        <f t="shared" si="38"/>
        <v>4</v>
      </c>
      <c r="I439" s="8">
        <f t="shared" si="38"/>
        <v>6</v>
      </c>
      <c r="J439" s="8">
        <f t="shared" si="39"/>
        <v>4</v>
      </c>
      <c r="K439" s="15">
        <v>3.4722215787041932E-5</v>
      </c>
      <c r="M439" s="8">
        <f t="shared" si="36"/>
        <v>534</v>
      </c>
      <c r="N439" s="9" t="s">
        <v>63</v>
      </c>
      <c r="O439" s="9" t="s">
        <v>16</v>
      </c>
      <c r="P439" s="9">
        <v>1766</v>
      </c>
      <c r="Q439" s="9">
        <v>167</v>
      </c>
      <c r="R439" s="8" t="s">
        <v>17</v>
      </c>
      <c r="S439" s="11">
        <v>86</v>
      </c>
      <c r="T439" s="10">
        <v>0.27</v>
      </c>
    </row>
    <row r="440" spans="1:20" x14ac:dyDescent="0.3">
      <c r="A440" s="7">
        <f t="shared" si="37"/>
        <v>435</v>
      </c>
      <c r="B440" s="8">
        <v>78</v>
      </c>
      <c r="C440" s="9" t="str">
        <f t="shared" si="35"/>
        <v>5350x85185fe3A4e36079818Ba1d12705A9B6898997040xa60AdD2af71a4f50b3F94509E71a1e9DbDeA5dDa1603103unidade630027</v>
      </c>
      <c r="D440" s="13"/>
      <c r="E440" s="8" t="s">
        <v>1374</v>
      </c>
      <c r="F440" s="8">
        <f t="shared" si="38"/>
        <v>0</v>
      </c>
      <c r="G440" s="8">
        <f t="shared" si="38"/>
        <v>0</v>
      </c>
      <c r="H440" s="8">
        <f t="shared" si="38"/>
        <v>7</v>
      </c>
      <c r="I440" s="8">
        <f t="shared" si="38"/>
        <v>1</v>
      </c>
      <c r="J440" s="8">
        <f t="shared" si="39"/>
        <v>7</v>
      </c>
      <c r="K440" s="15">
        <v>2.3148153559304774E-5</v>
      </c>
      <c r="M440" s="8">
        <f t="shared" si="36"/>
        <v>535</v>
      </c>
      <c r="N440" s="9" t="s">
        <v>63</v>
      </c>
      <c r="O440" s="9" t="s">
        <v>16</v>
      </c>
      <c r="P440" s="9">
        <v>1603</v>
      </c>
      <c r="Q440" s="9">
        <v>103</v>
      </c>
      <c r="R440" s="8" t="s">
        <v>17</v>
      </c>
      <c r="S440" s="11">
        <v>63</v>
      </c>
      <c r="T440" s="10">
        <v>0.27</v>
      </c>
    </row>
    <row r="441" spans="1:20" x14ac:dyDescent="0.3">
      <c r="A441" s="7">
        <f t="shared" si="37"/>
        <v>436</v>
      </c>
      <c r="B441" s="8">
        <v>162</v>
      </c>
      <c r="C441" s="9" t="str">
        <f t="shared" si="35"/>
        <v>5360x85185fe3A4e36079818Ba1d12705A9B6898997040xa60AdD2af71a4f50b3F94509E71a1e9DbDeA5dDa998137unidade930027</v>
      </c>
      <c r="D441" s="13"/>
      <c r="E441" s="8" t="s">
        <v>1375</v>
      </c>
      <c r="F441" s="8">
        <f t="shared" si="38"/>
        <v>0</v>
      </c>
      <c r="G441" s="8">
        <f t="shared" si="38"/>
        <v>0</v>
      </c>
      <c r="H441" s="8">
        <f t="shared" si="38"/>
        <v>3</v>
      </c>
      <c r="I441" s="8">
        <f t="shared" si="38"/>
        <v>1</v>
      </c>
      <c r="J441" s="8">
        <f t="shared" si="39"/>
        <v>3</v>
      </c>
      <c r="K441" s="15">
        <v>4.6296292566694319E-5</v>
      </c>
      <c r="M441" s="8">
        <f t="shared" si="36"/>
        <v>536</v>
      </c>
      <c r="N441" s="9" t="s">
        <v>63</v>
      </c>
      <c r="O441" s="9" t="s">
        <v>16</v>
      </c>
      <c r="P441" s="9">
        <v>998</v>
      </c>
      <c r="Q441" s="9">
        <v>137</v>
      </c>
      <c r="R441" s="8" t="s">
        <v>17</v>
      </c>
      <c r="S441" s="11">
        <v>93</v>
      </c>
      <c r="T441" s="10">
        <v>0.27</v>
      </c>
    </row>
    <row r="442" spans="1:20" x14ac:dyDescent="0.3">
      <c r="A442" s="7">
        <f t="shared" si="37"/>
        <v>437</v>
      </c>
      <c r="B442" s="8">
        <v>33</v>
      </c>
      <c r="C442" s="9" t="str">
        <f t="shared" si="35"/>
        <v>5370x85185fe3A4e36079818Ba1d12705A9B6898997040xa60AdD2af71a4f50b3F94509E71a1e9DbDeA5dDa622123unidade640027</v>
      </c>
      <c r="D442" s="13"/>
      <c r="E442" s="8" t="s">
        <v>1376</v>
      </c>
      <c r="F442" s="8">
        <f t="shared" si="38"/>
        <v>0</v>
      </c>
      <c r="G442" s="8">
        <f t="shared" si="38"/>
        <v>0</v>
      </c>
      <c r="H442" s="8">
        <f t="shared" si="38"/>
        <v>8</v>
      </c>
      <c r="I442" s="8">
        <f t="shared" si="38"/>
        <v>2</v>
      </c>
      <c r="J442" s="8">
        <f t="shared" si="39"/>
        <v>8</v>
      </c>
      <c r="K442" s="15">
        <v>1.1574076779652387E-5</v>
      </c>
      <c r="M442" s="8">
        <f t="shared" si="36"/>
        <v>537</v>
      </c>
      <c r="N442" s="9" t="s">
        <v>63</v>
      </c>
      <c r="O442" s="9" t="s">
        <v>16</v>
      </c>
      <c r="P442" s="9">
        <v>622</v>
      </c>
      <c r="Q442" s="9">
        <v>123</v>
      </c>
      <c r="R442" s="8" t="s">
        <v>17</v>
      </c>
      <c r="S442" s="11">
        <v>64</v>
      </c>
      <c r="T442" s="10">
        <v>0.27</v>
      </c>
    </row>
    <row r="443" spans="1:20" x14ac:dyDescent="0.3">
      <c r="A443" s="7">
        <f t="shared" si="37"/>
        <v>438</v>
      </c>
      <c r="B443" s="8">
        <v>113</v>
      </c>
      <c r="C443" s="9" t="str">
        <f t="shared" si="35"/>
        <v>5380x85185fe3A4e36079818Ba1d12705A9B6898997040xa60AdD2af71a4f50b3F94509E71a1e9DbDeA5dDa534162unidade990027</v>
      </c>
      <c r="D443" s="13"/>
      <c r="E443" s="8" t="s">
        <v>905</v>
      </c>
      <c r="F443" s="8">
        <f t="shared" si="38"/>
        <v>0</v>
      </c>
      <c r="G443" s="8">
        <f t="shared" si="38"/>
        <v>0</v>
      </c>
      <c r="H443" s="8">
        <f t="shared" si="38"/>
        <v>0</v>
      </c>
      <c r="I443" s="8">
        <f t="shared" si="38"/>
        <v>9</v>
      </c>
      <c r="J443" s="8">
        <f t="shared" si="39"/>
        <v>0</v>
      </c>
      <c r="K443" s="15">
        <v>3.4722223062999547E-5</v>
      </c>
      <c r="M443" s="8">
        <f t="shared" si="36"/>
        <v>538</v>
      </c>
      <c r="N443" s="9" t="s">
        <v>63</v>
      </c>
      <c r="O443" s="9" t="s">
        <v>16</v>
      </c>
      <c r="P443" s="9">
        <v>534</v>
      </c>
      <c r="Q443" s="9">
        <v>162</v>
      </c>
      <c r="R443" s="8" t="s">
        <v>17</v>
      </c>
      <c r="S443" s="11">
        <v>99</v>
      </c>
      <c r="T443" s="10">
        <v>0.27</v>
      </c>
    </row>
    <row r="444" spans="1:20" x14ac:dyDescent="0.3">
      <c r="A444" s="7">
        <f t="shared" si="37"/>
        <v>439</v>
      </c>
      <c r="B444" s="8">
        <v>115</v>
      </c>
      <c r="C444" s="9" t="str">
        <f t="shared" si="35"/>
        <v>5390x85185fe3A4e36079818Ba1d12705A9B6898997040xa60AdD2af71a4f50b3F94509E71a1e9DbDeA5dDa691194unidade380027</v>
      </c>
      <c r="D444" s="13"/>
      <c r="E444" s="8" t="s">
        <v>1377</v>
      </c>
      <c r="F444" s="8">
        <f t="shared" si="38"/>
        <v>0</v>
      </c>
      <c r="G444" s="8">
        <f t="shared" si="38"/>
        <v>0</v>
      </c>
      <c r="H444" s="8">
        <f t="shared" si="38"/>
        <v>9</v>
      </c>
      <c r="I444" s="8">
        <f t="shared" si="38"/>
        <v>1</v>
      </c>
      <c r="J444" s="8">
        <f t="shared" si="39"/>
        <v>9</v>
      </c>
      <c r="K444" s="15">
        <v>3.4722223062999547E-5</v>
      </c>
      <c r="M444" s="8">
        <f t="shared" si="36"/>
        <v>539</v>
      </c>
      <c r="N444" s="9" t="s">
        <v>63</v>
      </c>
      <c r="O444" s="9" t="s">
        <v>16</v>
      </c>
      <c r="P444" s="9">
        <v>691</v>
      </c>
      <c r="Q444" s="9">
        <v>194</v>
      </c>
      <c r="R444" s="8" t="s">
        <v>17</v>
      </c>
      <c r="S444" s="11">
        <v>38</v>
      </c>
      <c r="T444" s="10">
        <v>0.27</v>
      </c>
    </row>
    <row r="445" spans="1:20" x14ac:dyDescent="0.3">
      <c r="A445" s="7">
        <f t="shared" si="37"/>
        <v>440</v>
      </c>
      <c r="B445" s="8">
        <v>117</v>
      </c>
      <c r="C445" s="9" t="str">
        <f t="shared" si="35"/>
        <v>5400x85185fe3A4e36079818Ba1d12705A9B6898997040xa60AdD2af71a4f50b3F94509E71a1e9DbDeA5dDa1222134unidade940027</v>
      </c>
      <c r="D445" s="13"/>
      <c r="E445" s="8" t="s">
        <v>1378</v>
      </c>
      <c r="F445" s="8">
        <f t="shared" si="38"/>
        <v>0</v>
      </c>
      <c r="G445" s="8">
        <f t="shared" si="38"/>
        <v>0</v>
      </c>
      <c r="H445" s="8">
        <f t="shared" si="38"/>
        <v>5</v>
      </c>
      <c r="I445" s="8">
        <f t="shared" si="38"/>
        <v>1</v>
      </c>
      <c r="J445" s="8">
        <f t="shared" si="39"/>
        <v>5</v>
      </c>
      <c r="K445" s="15">
        <v>3.4722215787041932E-5</v>
      </c>
      <c r="M445" s="8">
        <f t="shared" si="36"/>
        <v>540</v>
      </c>
      <c r="N445" s="9" t="s">
        <v>63</v>
      </c>
      <c r="O445" s="9" t="s">
        <v>16</v>
      </c>
      <c r="P445" s="9">
        <v>1222</v>
      </c>
      <c r="Q445" s="9">
        <v>134</v>
      </c>
      <c r="R445" s="8" t="s">
        <v>17</v>
      </c>
      <c r="S445" s="11">
        <v>94</v>
      </c>
      <c r="T445" s="10">
        <v>0.27</v>
      </c>
    </row>
    <row r="446" spans="1:20" x14ac:dyDescent="0.3">
      <c r="A446" s="7">
        <f t="shared" si="37"/>
        <v>441</v>
      </c>
      <c r="B446" s="8">
        <v>226</v>
      </c>
      <c r="C446" s="9" t="str">
        <f t="shared" si="35"/>
        <v>5410x85185fe3A4e36079818Ba1d12705A9B6898997040xa60AdD2af71a4f50b3F94509E71a1e9DbDeA5dDa1186155unidade820027</v>
      </c>
      <c r="D446" s="13"/>
      <c r="E446" s="8" t="s">
        <v>1379</v>
      </c>
      <c r="F446" s="8">
        <f t="shared" si="38"/>
        <v>0</v>
      </c>
      <c r="G446" s="8">
        <f t="shared" si="38"/>
        <v>0</v>
      </c>
      <c r="H446" s="8">
        <f t="shared" si="38"/>
        <v>9</v>
      </c>
      <c r="I446" s="8">
        <f t="shared" si="38"/>
        <v>6</v>
      </c>
      <c r="J446" s="8">
        <f t="shared" si="39"/>
        <v>9</v>
      </c>
      <c r="K446" s="15">
        <v>6.9444446125999093E-5</v>
      </c>
      <c r="M446" s="8">
        <f t="shared" si="36"/>
        <v>541</v>
      </c>
      <c r="N446" s="9" t="s">
        <v>63</v>
      </c>
      <c r="O446" s="9" t="s">
        <v>16</v>
      </c>
      <c r="P446" s="9">
        <v>1186</v>
      </c>
      <c r="Q446" s="9">
        <v>155</v>
      </c>
      <c r="R446" s="8" t="s">
        <v>17</v>
      </c>
      <c r="S446" s="11">
        <v>82</v>
      </c>
      <c r="T446" s="10">
        <v>0.27</v>
      </c>
    </row>
    <row r="447" spans="1:20" x14ac:dyDescent="0.3">
      <c r="A447" s="7">
        <f t="shared" si="37"/>
        <v>442</v>
      </c>
      <c r="B447" s="8">
        <v>97</v>
      </c>
      <c r="C447" s="9" t="str">
        <f t="shared" si="35"/>
        <v>5420x85185fe3A4e36079818Ba1d12705A9B6898997040xa60AdD2af71a4f50b3F94509E71a1e9DbDeA5dDa728127unidade490027</v>
      </c>
      <c r="D447" s="13"/>
      <c r="E447" s="8" t="s">
        <v>1380</v>
      </c>
      <c r="F447" s="8">
        <f t="shared" si="38"/>
        <v>0</v>
      </c>
      <c r="G447" s="8">
        <f t="shared" si="38"/>
        <v>0</v>
      </c>
      <c r="H447" s="8">
        <f t="shared" si="38"/>
        <v>6</v>
      </c>
      <c r="I447" s="8">
        <f t="shared" si="38"/>
        <v>4</v>
      </c>
      <c r="J447" s="8">
        <f t="shared" si="39"/>
        <v>6</v>
      </c>
      <c r="K447" s="15">
        <v>2.314814628334716E-5</v>
      </c>
      <c r="M447" s="8">
        <f t="shared" si="36"/>
        <v>542</v>
      </c>
      <c r="N447" s="9" t="s">
        <v>63</v>
      </c>
      <c r="O447" s="9" t="s">
        <v>16</v>
      </c>
      <c r="P447" s="9">
        <v>728</v>
      </c>
      <c r="Q447" s="9">
        <v>127</v>
      </c>
      <c r="R447" s="8" t="s">
        <v>17</v>
      </c>
      <c r="S447" s="11">
        <v>49</v>
      </c>
      <c r="T447" s="10">
        <v>0.27</v>
      </c>
    </row>
    <row r="448" spans="1:20" x14ac:dyDescent="0.3">
      <c r="A448" s="7">
        <f t="shared" si="37"/>
        <v>443</v>
      </c>
      <c r="B448" s="8">
        <v>192</v>
      </c>
      <c r="C448" s="9" t="str">
        <f t="shared" si="35"/>
        <v>5430x85185fe3A4e36079818Ba1d12705A9B6898997040xa60AdD2af71a4f50b3F94509E71a1e9DbDeA5dDa891155unidade820027</v>
      </c>
      <c r="D448" s="13"/>
      <c r="E448" s="8" t="s">
        <v>1381</v>
      </c>
      <c r="F448" s="8">
        <f t="shared" si="38"/>
        <v>0</v>
      </c>
      <c r="G448" s="8">
        <f t="shared" si="38"/>
        <v>0</v>
      </c>
      <c r="H448" s="8">
        <f t="shared" si="38"/>
        <v>3</v>
      </c>
      <c r="I448" s="8">
        <f t="shared" si="38"/>
        <v>1</v>
      </c>
      <c r="J448" s="8">
        <f t="shared" si="39"/>
        <v>3</v>
      </c>
      <c r="K448" s="15">
        <v>5.787037662230432E-5</v>
      </c>
      <c r="M448" s="8">
        <f t="shared" si="36"/>
        <v>543</v>
      </c>
      <c r="N448" s="9" t="s">
        <v>63</v>
      </c>
      <c r="O448" s="9" t="s">
        <v>16</v>
      </c>
      <c r="P448" s="9">
        <v>891</v>
      </c>
      <c r="Q448" s="9">
        <v>155</v>
      </c>
      <c r="R448" s="8" t="s">
        <v>17</v>
      </c>
      <c r="S448" s="11">
        <v>82</v>
      </c>
      <c r="T448" s="10">
        <v>0.27</v>
      </c>
    </row>
    <row r="449" spans="1:20" x14ac:dyDescent="0.3">
      <c r="A449" s="7">
        <f t="shared" si="37"/>
        <v>444</v>
      </c>
      <c r="B449" s="8">
        <v>374</v>
      </c>
      <c r="C449" s="9" t="str">
        <f t="shared" si="35"/>
        <v>5440x85185fe3A4e36079818Ba1d12705A9B6898997040xa60AdD2af71a4f50b3F94509E71a1e9DbDeA5dDa1887123unidade610027</v>
      </c>
      <c r="D449" s="13"/>
      <c r="E449" s="8" t="s">
        <v>1382</v>
      </c>
      <c r="F449" s="8">
        <f t="shared" si="38"/>
        <v>0</v>
      </c>
      <c r="G449" s="8">
        <f t="shared" si="38"/>
        <v>0</v>
      </c>
      <c r="H449" s="8">
        <f t="shared" si="38"/>
        <v>1</v>
      </c>
      <c r="I449" s="8">
        <f t="shared" si="38"/>
        <v>1</v>
      </c>
      <c r="J449" s="8">
        <f t="shared" si="39"/>
        <v>1</v>
      </c>
      <c r="K449" s="15">
        <v>1.0416666191304103E-4</v>
      </c>
      <c r="M449" s="8">
        <f t="shared" si="36"/>
        <v>544</v>
      </c>
      <c r="N449" s="9" t="s">
        <v>63</v>
      </c>
      <c r="O449" s="9" t="s">
        <v>16</v>
      </c>
      <c r="P449" s="9">
        <v>1887</v>
      </c>
      <c r="Q449" s="9">
        <v>123</v>
      </c>
      <c r="R449" s="8" t="s">
        <v>17</v>
      </c>
      <c r="S449" s="11">
        <v>61</v>
      </c>
      <c r="T449" s="10">
        <v>0.27</v>
      </c>
    </row>
    <row r="450" spans="1:20" x14ac:dyDescent="0.3">
      <c r="A450" s="7">
        <f t="shared" si="37"/>
        <v>445</v>
      </c>
      <c r="B450" s="8">
        <v>444</v>
      </c>
      <c r="C450" s="9" t="str">
        <f t="shared" si="35"/>
        <v>5450x85185fe3A4e36079818Ba1d12705A9B6898997040xa60AdD2af71a4f50b3F94509E71a1e9DbDeA5dDa1873200unidade520027</v>
      </c>
      <c r="D450" s="13"/>
      <c r="E450" s="8" t="s">
        <v>1383</v>
      </c>
      <c r="F450" s="8">
        <f t="shared" si="38"/>
        <v>0</v>
      </c>
      <c r="G450" s="8">
        <f t="shared" si="38"/>
        <v>0</v>
      </c>
      <c r="H450" s="8">
        <f t="shared" si="38"/>
        <v>5</v>
      </c>
      <c r="I450" s="8">
        <f t="shared" si="38"/>
        <v>6</v>
      </c>
      <c r="J450" s="8">
        <f t="shared" si="39"/>
        <v>5</v>
      </c>
      <c r="K450" s="15">
        <v>1.1574074596865103E-4</v>
      </c>
      <c r="M450" s="8">
        <f t="shared" si="36"/>
        <v>545</v>
      </c>
      <c r="N450" s="9" t="s">
        <v>63</v>
      </c>
      <c r="O450" s="9" t="s">
        <v>16</v>
      </c>
      <c r="P450" s="9">
        <v>1873</v>
      </c>
      <c r="Q450" s="9">
        <v>200</v>
      </c>
      <c r="R450" s="8" t="s">
        <v>17</v>
      </c>
      <c r="S450" s="11">
        <v>52</v>
      </c>
      <c r="T450" s="10">
        <v>0.27</v>
      </c>
    </row>
    <row r="451" spans="1:20" x14ac:dyDescent="0.3">
      <c r="A451" s="7">
        <f t="shared" si="37"/>
        <v>446</v>
      </c>
      <c r="B451" s="8">
        <v>140</v>
      </c>
      <c r="C451" s="9" t="str">
        <f t="shared" si="35"/>
        <v>5460x85185fe3A4e36079818Ba1d12705A9B6898997040xa60AdD2af71a4f50b3F94509E71a1e9DbDeA5dDa826115unidade120027</v>
      </c>
      <c r="D451" s="13"/>
      <c r="E451" s="8" t="s">
        <v>1384</v>
      </c>
      <c r="F451" s="8">
        <f t="shared" si="38"/>
        <v>0</v>
      </c>
      <c r="G451" s="8">
        <f t="shared" si="38"/>
        <v>0</v>
      </c>
      <c r="H451" s="8">
        <f t="shared" si="38"/>
        <v>6</v>
      </c>
      <c r="I451" s="8">
        <f t="shared" si="38"/>
        <v>8</v>
      </c>
      <c r="J451" s="8">
        <f t="shared" si="39"/>
        <v>6</v>
      </c>
      <c r="K451" s="15">
        <v>3.4722223062999547E-5</v>
      </c>
      <c r="M451" s="8">
        <f t="shared" si="36"/>
        <v>546</v>
      </c>
      <c r="N451" s="9" t="s">
        <v>63</v>
      </c>
      <c r="O451" s="9" t="s">
        <v>16</v>
      </c>
      <c r="P451" s="9">
        <v>826</v>
      </c>
      <c r="Q451" s="9">
        <v>115</v>
      </c>
      <c r="R451" s="8" t="s">
        <v>17</v>
      </c>
      <c r="S451" s="11">
        <v>12</v>
      </c>
      <c r="T451" s="10">
        <v>0.27</v>
      </c>
    </row>
    <row r="452" spans="1:20" x14ac:dyDescent="0.3">
      <c r="A452" s="7">
        <f t="shared" si="37"/>
        <v>447</v>
      </c>
      <c r="B452" s="8">
        <v>436</v>
      </c>
      <c r="C452" s="9" t="str">
        <f t="shared" si="35"/>
        <v>5470x85185fe3A4e36079818Ba1d12705A9B6898997040xa60AdD2af71a4f50b3F94509E71a1e9DbDeA5dDa994166unidade820027</v>
      </c>
      <c r="D452" s="13"/>
      <c r="E452" s="8" t="s">
        <v>1385</v>
      </c>
      <c r="F452" s="8">
        <f t="shared" si="38"/>
        <v>0</v>
      </c>
      <c r="G452" s="8">
        <f t="shared" si="38"/>
        <v>0</v>
      </c>
      <c r="H452" s="8">
        <f t="shared" si="38"/>
        <v>1</v>
      </c>
      <c r="I452" s="8">
        <f t="shared" si="38"/>
        <v>2</v>
      </c>
      <c r="J452" s="8">
        <f t="shared" si="39"/>
        <v>1</v>
      </c>
      <c r="K452" s="15">
        <v>1.273148154723458E-4</v>
      </c>
      <c r="M452" s="8">
        <f t="shared" si="36"/>
        <v>547</v>
      </c>
      <c r="N452" s="9" t="s">
        <v>63</v>
      </c>
      <c r="O452" s="9" t="s">
        <v>16</v>
      </c>
      <c r="P452" s="9">
        <v>994</v>
      </c>
      <c r="Q452" s="9">
        <v>166</v>
      </c>
      <c r="R452" s="8" t="s">
        <v>17</v>
      </c>
      <c r="S452" s="11">
        <v>82</v>
      </c>
      <c r="T452" s="10">
        <v>0.27</v>
      </c>
    </row>
    <row r="453" spans="1:20" x14ac:dyDescent="0.3">
      <c r="A453" s="7">
        <f t="shared" si="37"/>
        <v>448</v>
      </c>
      <c r="B453" s="8">
        <v>66</v>
      </c>
      <c r="C453" s="9" t="str">
        <f t="shared" si="35"/>
        <v>5480x85185fe3A4e36079818Ba1d12705A9B6898997040xa60AdD2af71a4f50b3F94509E71a1e9DbDeA5dDa872119unidade170027</v>
      </c>
      <c r="D453" s="13"/>
      <c r="E453" s="8" t="s">
        <v>1386</v>
      </c>
      <c r="F453" s="8">
        <f t="shared" si="38"/>
        <v>0</v>
      </c>
      <c r="G453" s="8">
        <f t="shared" si="38"/>
        <v>0</v>
      </c>
      <c r="H453" s="8">
        <f t="shared" si="38"/>
        <v>4</v>
      </c>
      <c r="I453" s="8">
        <f t="shared" si="38"/>
        <v>1</v>
      </c>
      <c r="J453" s="8">
        <f t="shared" si="39"/>
        <v>4</v>
      </c>
      <c r="K453" s="15">
        <v>2.314814628334716E-5</v>
      </c>
      <c r="M453" s="8">
        <f t="shared" si="36"/>
        <v>548</v>
      </c>
      <c r="N453" s="9" t="s">
        <v>63</v>
      </c>
      <c r="O453" s="9" t="s">
        <v>16</v>
      </c>
      <c r="P453" s="9">
        <v>872</v>
      </c>
      <c r="Q453" s="9">
        <v>119</v>
      </c>
      <c r="R453" s="8" t="s">
        <v>17</v>
      </c>
      <c r="S453" s="11">
        <v>17</v>
      </c>
      <c r="T453" s="10">
        <v>0.27</v>
      </c>
    </row>
    <row r="454" spans="1:20" x14ac:dyDescent="0.3">
      <c r="A454" s="7">
        <f t="shared" si="37"/>
        <v>449</v>
      </c>
      <c r="B454" s="8">
        <v>523</v>
      </c>
      <c r="C454" s="9" t="str">
        <f t="shared" ref="C454:C517" si="40">M454&amp;N454&amp;O454&amp;P454&amp;Q454&amp;R454&amp;(S454*100)&amp;(T454*100)</f>
        <v>5490x85185fe3A4e36079818Ba1d12705A9B6898997040xa60AdD2af71a4f50b3F94509E71a1e9DbDeA5dDa1309108unidade1180027</v>
      </c>
      <c r="D454" s="13"/>
      <c r="E454" s="8" t="s">
        <v>1387</v>
      </c>
      <c r="F454" s="8">
        <f t="shared" si="38"/>
        <v>0</v>
      </c>
      <c r="G454" s="8">
        <f t="shared" si="38"/>
        <v>0</v>
      </c>
      <c r="H454" s="8">
        <f t="shared" si="38"/>
        <v>1</v>
      </c>
      <c r="I454" s="8">
        <f t="shared" si="38"/>
        <v>9</v>
      </c>
      <c r="J454" s="8">
        <f t="shared" si="39"/>
        <v>1</v>
      </c>
      <c r="K454" s="15">
        <v>1.5046296175569296E-4</v>
      </c>
      <c r="M454" s="8">
        <f t="shared" ref="M454:M505" si="41">1+M453</f>
        <v>549</v>
      </c>
      <c r="N454" s="9" t="s">
        <v>63</v>
      </c>
      <c r="O454" s="9" t="s">
        <v>16</v>
      </c>
      <c r="P454" s="9">
        <v>1309</v>
      </c>
      <c r="Q454" s="9">
        <v>108</v>
      </c>
      <c r="R454" s="8" t="s">
        <v>17</v>
      </c>
      <c r="S454" s="11">
        <v>118</v>
      </c>
      <c r="T454" s="10">
        <v>0.27</v>
      </c>
    </row>
    <row r="455" spans="1:20" x14ac:dyDescent="0.3">
      <c r="A455" s="7">
        <f t="shared" ref="A455:A505" si="42">1+A454</f>
        <v>450</v>
      </c>
      <c r="B455" s="8">
        <v>138</v>
      </c>
      <c r="C455" s="9" t="str">
        <f t="shared" si="40"/>
        <v>5500x85185fe3A4e36079818Ba1d12705A9B6898997040xa60AdD2af71a4f50b3F94509E71a1e9DbDeA5dDa1085196unidade590027</v>
      </c>
      <c r="D455" s="13"/>
      <c r="E455" s="8" t="s">
        <v>1388</v>
      </c>
      <c r="F455" s="8">
        <f t="shared" si="38"/>
        <v>0</v>
      </c>
      <c r="G455" s="8">
        <f t="shared" si="38"/>
        <v>0</v>
      </c>
      <c r="H455" s="8">
        <f t="shared" si="38"/>
        <v>1</v>
      </c>
      <c r="I455" s="8">
        <f t="shared" si="38"/>
        <v>1</v>
      </c>
      <c r="J455" s="8">
        <f t="shared" si="39"/>
        <v>1</v>
      </c>
      <c r="K455" s="15">
        <v>3.4722223062999547E-5</v>
      </c>
      <c r="M455" s="8">
        <f t="shared" si="41"/>
        <v>550</v>
      </c>
      <c r="N455" s="9" t="s">
        <v>63</v>
      </c>
      <c r="O455" s="9" t="s">
        <v>16</v>
      </c>
      <c r="P455" s="9">
        <v>1085</v>
      </c>
      <c r="Q455" s="9">
        <v>196</v>
      </c>
      <c r="R455" s="8" t="s">
        <v>17</v>
      </c>
      <c r="S455" s="11">
        <v>59</v>
      </c>
      <c r="T455" s="10">
        <v>0.27</v>
      </c>
    </row>
    <row r="456" spans="1:20" x14ac:dyDescent="0.3">
      <c r="A456" s="7">
        <f t="shared" si="42"/>
        <v>451</v>
      </c>
      <c r="B456" s="8">
        <v>44</v>
      </c>
      <c r="C456" s="9" t="str">
        <f t="shared" si="40"/>
        <v>5510x85185fe3A4e36079818Ba1d12705A9B6898997040xa60AdD2af71a4f50b3F94509E71a1e9DbDeA5dDa293197unidade630027</v>
      </c>
      <c r="D456" s="13"/>
      <c r="E456" s="8" t="s">
        <v>1389</v>
      </c>
      <c r="F456" s="8">
        <f t="shared" si="38"/>
        <v>0</v>
      </c>
      <c r="G456" s="8">
        <f t="shared" si="38"/>
        <v>0</v>
      </c>
      <c r="H456" s="8">
        <f t="shared" si="38"/>
        <v>7</v>
      </c>
      <c r="I456" s="8">
        <f t="shared" si="38"/>
        <v>1</v>
      </c>
      <c r="J456" s="8">
        <f t="shared" si="39"/>
        <v>7</v>
      </c>
      <c r="K456" s="15">
        <v>1.1574076779652387E-5</v>
      </c>
      <c r="M456" s="8">
        <f t="shared" si="41"/>
        <v>551</v>
      </c>
      <c r="N456" s="9" t="s">
        <v>63</v>
      </c>
      <c r="O456" s="9" t="s">
        <v>16</v>
      </c>
      <c r="P456" s="9">
        <v>293</v>
      </c>
      <c r="Q456" s="9">
        <v>197</v>
      </c>
      <c r="R456" s="8" t="s">
        <v>17</v>
      </c>
      <c r="S456" s="11">
        <v>63</v>
      </c>
      <c r="T456" s="10">
        <v>0.27</v>
      </c>
    </row>
    <row r="457" spans="1:20" x14ac:dyDescent="0.3">
      <c r="A457" s="7">
        <f t="shared" si="42"/>
        <v>452</v>
      </c>
      <c r="B457" s="8">
        <v>389</v>
      </c>
      <c r="C457" s="9" t="str">
        <f t="shared" si="40"/>
        <v>5520x85185fe3A4e36079818Ba1d12705A9B6898997040xa60AdD2af71a4f50b3F94509E71a1e9DbDeA5dDa1628150unidade650027</v>
      </c>
      <c r="D457" s="13"/>
      <c r="E457" s="8" t="s">
        <v>1390</v>
      </c>
      <c r="F457" s="8">
        <f t="shared" si="38"/>
        <v>0</v>
      </c>
      <c r="G457" s="8">
        <f t="shared" si="38"/>
        <v>0</v>
      </c>
      <c r="H457" s="8">
        <f t="shared" si="38"/>
        <v>5</v>
      </c>
      <c r="I457" s="8">
        <f t="shared" si="38"/>
        <v>5</v>
      </c>
      <c r="J457" s="8">
        <f t="shared" si="39"/>
        <v>5</v>
      </c>
      <c r="K457" s="15">
        <v>1.1574073869269341E-4</v>
      </c>
      <c r="M457" s="8">
        <f t="shared" si="41"/>
        <v>552</v>
      </c>
      <c r="N457" s="9" t="s">
        <v>63</v>
      </c>
      <c r="O457" s="9" t="s">
        <v>16</v>
      </c>
      <c r="P457" s="9">
        <v>1628</v>
      </c>
      <c r="Q457" s="9">
        <v>150</v>
      </c>
      <c r="R457" s="8" t="s">
        <v>17</v>
      </c>
      <c r="S457" s="11">
        <v>65</v>
      </c>
      <c r="T457" s="10">
        <v>0.27</v>
      </c>
    </row>
    <row r="458" spans="1:20" x14ac:dyDescent="0.3">
      <c r="A458" s="7">
        <f t="shared" si="42"/>
        <v>453</v>
      </c>
      <c r="B458" s="8">
        <v>176</v>
      </c>
      <c r="C458" s="9" t="str">
        <f t="shared" si="40"/>
        <v>5530x85185fe3A4e36079818Ba1d12705A9B6898997040xa60AdD2af71a4f50b3F94509E71a1e9DbDeA5dDa1007101unidade290027</v>
      </c>
      <c r="D458" s="13"/>
      <c r="E458" s="8" t="s">
        <v>1391</v>
      </c>
      <c r="F458" s="8">
        <f t="shared" si="38"/>
        <v>0</v>
      </c>
      <c r="G458" s="8">
        <f t="shared" si="38"/>
        <v>0</v>
      </c>
      <c r="H458" s="8">
        <f t="shared" si="38"/>
        <v>1</v>
      </c>
      <c r="I458" s="8">
        <f t="shared" si="38"/>
        <v>1</v>
      </c>
      <c r="J458" s="8">
        <f t="shared" si="39"/>
        <v>1</v>
      </c>
      <c r="K458" s="15">
        <v>4.6296299842651933E-5</v>
      </c>
      <c r="M458" s="8">
        <f t="shared" si="41"/>
        <v>553</v>
      </c>
      <c r="N458" s="9" t="s">
        <v>63</v>
      </c>
      <c r="O458" s="9" t="s">
        <v>16</v>
      </c>
      <c r="P458" s="9">
        <v>1007</v>
      </c>
      <c r="Q458" s="9">
        <v>101</v>
      </c>
      <c r="R458" s="8" t="s">
        <v>17</v>
      </c>
      <c r="S458" s="11">
        <v>29</v>
      </c>
      <c r="T458" s="10">
        <v>0.27</v>
      </c>
    </row>
    <row r="459" spans="1:20" x14ac:dyDescent="0.3">
      <c r="A459" s="7">
        <f t="shared" si="42"/>
        <v>454</v>
      </c>
      <c r="B459" s="8">
        <v>114</v>
      </c>
      <c r="C459" s="9" t="str">
        <f t="shared" si="40"/>
        <v>5540x85185fe3A4e36079818Ba1d12705A9B6898997040xa60AdD2af71a4f50b3F94509E71a1e9DbDeA5dDa1966185unidade610027</v>
      </c>
      <c r="D459" s="13"/>
      <c r="E459" s="8" t="s">
        <v>1392</v>
      </c>
      <c r="F459" s="8">
        <f t="shared" si="38"/>
        <v>0</v>
      </c>
      <c r="G459" s="8">
        <f t="shared" si="38"/>
        <v>0</v>
      </c>
      <c r="H459" s="8">
        <f t="shared" si="38"/>
        <v>7</v>
      </c>
      <c r="I459" s="8">
        <f t="shared" si="38"/>
        <v>1</v>
      </c>
      <c r="J459" s="8">
        <f t="shared" si="39"/>
        <v>7</v>
      </c>
      <c r="K459" s="15">
        <v>3.4722223062999547E-5</v>
      </c>
      <c r="M459" s="8">
        <f t="shared" si="41"/>
        <v>554</v>
      </c>
      <c r="N459" s="9" t="s">
        <v>63</v>
      </c>
      <c r="O459" s="9" t="s">
        <v>16</v>
      </c>
      <c r="P459" s="9">
        <v>1966</v>
      </c>
      <c r="Q459" s="9">
        <v>185</v>
      </c>
      <c r="R459" s="8" t="s">
        <v>17</v>
      </c>
      <c r="S459" s="11">
        <v>61</v>
      </c>
      <c r="T459" s="10">
        <v>0.27</v>
      </c>
    </row>
    <row r="460" spans="1:20" x14ac:dyDescent="0.3">
      <c r="A460" s="7">
        <f t="shared" si="42"/>
        <v>455</v>
      </c>
      <c r="B460" s="8">
        <v>21</v>
      </c>
      <c r="C460" s="9" t="str">
        <f t="shared" si="40"/>
        <v>5550x85185fe3A4e36079818Ba1d12705A9B6898997040xa60AdD2af71a4f50b3F94509E71a1e9DbDeA5dDa1406195unidade390027</v>
      </c>
      <c r="D460" s="13"/>
      <c r="E460" s="8" t="s">
        <v>1393</v>
      </c>
      <c r="F460" s="8">
        <f t="shared" si="38"/>
        <v>0</v>
      </c>
      <c r="G460" s="8">
        <f t="shared" si="38"/>
        <v>0</v>
      </c>
      <c r="H460" s="8">
        <f t="shared" si="38"/>
        <v>1</v>
      </c>
      <c r="I460" s="8">
        <f t="shared" si="38"/>
        <v>1</v>
      </c>
      <c r="J460" s="8">
        <f t="shared" si="39"/>
        <v>1</v>
      </c>
      <c r="K460" s="15">
        <v>0</v>
      </c>
      <c r="M460" s="8">
        <f t="shared" si="41"/>
        <v>555</v>
      </c>
      <c r="N460" s="9" t="s">
        <v>63</v>
      </c>
      <c r="O460" s="9" t="s">
        <v>16</v>
      </c>
      <c r="P460" s="9">
        <v>1406</v>
      </c>
      <c r="Q460" s="9">
        <v>195</v>
      </c>
      <c r="R460" s="8" t="s">
        <v>17</v>
      </c>
      <c r="S460" s="11">
        <v>39</v>
      </c>
      <c r="T460" s="10">
        <v>0.27</v>
      </c>
    </row>
    <row r="461" spans="1:20" x14ac:dyDescent="0.3">
      <c r="A461" s="7">
        <f t="shared" si="42"/>
        <v>456</v>
      </c>
      <c r="B461" s="8">
        <v>223</v>
      </c>
      <c r="C461" s="9" t="str">
        <f t="shared" si="40"/>
        <v>5560x85185fe3A4e36079818Ba1d12705A9B6898997040xa60AdD2af71a4f50b3F94509E71a1e9DbDeA5dDa1448145unidade190027</v>
      </c>
      <c r="D461" s="13"/>
      <c r="E461" s="8" t="s">
        <v>1394</v>
      </c>
      <c r="F461" s="8">
        <f t="shared" si="38"/>
        <v>0</v>
      </c>
      <c r="G461" s="8">
        <f t="shared" si="38"/>
        <v>0</v>
      </c>
      <c r="H461" s="8">
        <f t="shared" si="38"/>
        <v>1</v>
      </c>
      <c r="I461" s="8">
        <f t="shared" si="38"/>
        <v>1</v>
      </c>
      <c r="J461" s="8">
        <f t="shared" si="39"/>
        <v>1</v>
      </c>
      <c r="K461" s="15">
        <v>6.9444446125999093E-5</v>
      </c>
      <c r="M461" s="8">
        <f t="shared" si="41"/>
        <v>556</v>
      </c>
      <c r="N461" s="9" t="s">
        <v>63</v>
      </c>
      <c r="O461" s="9" t="s">
        <v>16</v>
      </c>
      <c r="P461" s="9">
        <v>1448</v>
      </c>
      <c r="Q461" s="9">
        <v>145</v>
      </c>
      <c r="R461" s="8" t="s">
        <v>17</v>
      </c>
      <c r="S461" s="11">
        <v>19</v>
      </c>
      <c r="T461" s="10">
        <v>0.27</v>
      </c>
    </row>
    <row r="462" spans="1:20" x14ac:dyDescent="0.3">
      <c r="A462" s="7">
        <f t="shared" si="42"/>
        <v>457</v>
      </c>
      <c r="B462" s="8">
        <v>511</v>
      </c>
      <c r="C462" s="9" t="str">
        <f t="shared" si="40"/>
        <v>5570x85185fe3A4e36079818Ba1d12705A9B6898997040xa60AdD2af71a4f50b3F94509E71a1e9DbDeA5dDa280171unidade1000027</v>
      </c>
      <c r="D462" s="13"/>
      <c r="E462" s="8" t="s">
        <v>1395</v>
      </c>
      <c r="F462" s="8">
        <f t="shared" si="38"/>
        <v>0</v>
      </c>
      <c r="G462" s="8">
        <f t="shared" si="38"/>
        <v>0</v>
      </c>
      <c r="H462" s="8">
        <f t="shared" si="38"/>
        <v>1</v>
      </c>
      <c r="I462" s="8">
        <f t="shared" si="38"/>
        <v>1</v>
      </c>
      <c r="J462" s="8">
        <f t="shared" si="39"/>
        <v>1</v>
      </c>
      <c r="K462" s="15">
        <v>1.3888889225199819E-4</v>
      </c>
      <c r="M462" s="8">
        <f t="shared" si="41"/>
        <v>557</v>
      </c>
      <c r="N462" s="9" t="s">
        <v>63</v>
      </c>
      <c r="O462" s="9" t="s">
        <v>16</v>
      </c>
      <c r="P462" s="9">
        <v>280</v>
      </c>
      <c r="Q462" s="9">
        <v>171</v>
      </c>
      <c r="R462" s="8" t="s">
        <v>17</v>
      </c>
      <c r="S462" s="11">
        <v>100</v>
      </c>
      <c r="T462" s="10">
        <v>0.27</v>
      </c>
    </row>
    <row r="463" spans="1:20" x14ac:dyDescent="0.3">
      <c r="A463" s="7">
        <f t="shared" si="42"/>
        <v>458</v>
      </c>
      <c r="B463" s="8">
        <v>724</v>
      </c>
      <c r="C463" s="9" t="str">
        <f t="shared" si="40"/>
        <v>5580x85185fe3A4e36079818Ba1d12705A9B6898997040xa60AdD2af71a4f50b3F94509E71a1e9DbDeA5dDa1461115unidade810027</v>
      </c>
      <c r="D463" s="13"/>
      <c r="E463" s="8" t="s">
        <v>1396</v>
      </c>
      <c r="F463" s="8">
        <f t="shared" si="38"/>
        <v>0</v>
      </c>
      <c r="G463" s="8">
        <f t="shared" si="38"/>
        <v>0</v>
      </c>
      <c r="H463" s="8">
        <f t="shared" si="38"/>
        <v>1</v>
      </c>
      <c r="I463" s="8">
        <f t="shared" si="38"/>
        <v>1</v>
      </c>
      <c r="J463" s="8">
        <f t="shared" si="39"/>
        <v>1</v>
      </c>
      <c r="K463" s="15">
        <v>1.9675925432238728E-4</v>
      </c>
      <c r="M463" s="8">
        <f t="shared" si="41"/>
        <v>558</v>
      </c>
      <c r="N463" s="9" t="s">
        <v>63</v>
      </c>
      <c r="O463" s="9" t="s">
        <v>16</v>
      </c>
      <c r="P463" s="9">
        <v>1461</v>
      </c>
      <c r="Q463" s="9">
        <v>115</v>
      </c>
      <c r="R463" s="8" t="s">
        <v>17</v>
      </c>
      <c r="S463" s="11">
        <v>81</v>
      </c>
      <c r="T463" s="10">
        <v>0.27</v>
      </c>
    </row>
    <row r="464" spans="1:20" x14ac:dyDescent="0.3">
      <c r="A464" s="7">
        <f t="shared" si="42"/>
        <v>459</v>
      </c>
      <c r="B464" s="8">
        <v>162</v>
      </c>
      <c r="C464" s="9" t="str">
        <f t="shared" si="40"/>
        <v>5590x85185fe3A4e36079818Ba1d12705A9B6898997040xa60AdD2af71a4f50b3F94509E71a1e9DbDeA5dDa998189unidade560027</v>
      </c>
      <c r="D464" s="13"/>
      <c r="E464" s="8" t="s">
        <v>1397</v>
      </c>
      <c r="F464" s="8">
        <f t="shared" si="38"/>
        <v>0</v>
      </c>
      <c r="G464" s="8">
        <f t="shared" si="38"/>
        <v>0</v>
      </c>
      <c r="H464" s="8">
        <f t="shared" si="38"/>
        <v>1</v>
      </c>
      <c r="I464" s="8">
        <f t="shared" si="38"/>
        <v>6</v>
      </c>
      <c r="J464" s="8">
        <f t="shared" si="39"/>
        <v>1</v>
      </c>
      <c r="K464" s="15">
        <v>5.7870369346346706E-5</v>
      </c>
      <c r="M464" s="8">
        <f t="shared" si="41"/>
        <v>559</v>
      </c>
      <c r="N464" s="9" t="s">
        <v>63</v>
      </c>
      <c r="O464" s="9" t="s">
        <v>16</v>
      </c>
      <c r="P464" s="9">
        <v>998</v>
      </c>
      <c r="Q464" s="9">
        <v>189</v>
      </c>
      <c r="R464" s="8" t="s">
        <v>17</v>
      </c>
      <c r="S464" s="11">
        <v>56</v>
      </c>
      <c r="T464" s="10">
        <v>0.27</v>
      </c>
    </row>
    <row r="465" spans="1:20" x14ac:dyDescent="0.3">
      <c r="A465" s="7">
        <f t="shared" si="42"/>
        <v>460</v>
      </c>
      <c r="B465" s="8">
        <v>849</v>
      </c>
      <c r="C465" s="9" t="str">
        <f t="shared" si="40"/>
        <v>5600x85185fe3A4e36079818Ba1d12705A9B6898997040xa60AdD2af71a4f50b3F94509E71a1e9DbDeA5dDa1185142unidade130027</v>
      </c>
      <c r="D465" s="13"/>
      <c r="E465" s="8" t="s">
        <v>1398</v>
      </c>
      <c r="F465" s="8">
        <f t="shared" si="38"/>
        <v>0</v>
      </c>
      <c r="G465" s="8">
        <f t="shared" si="38"/>
        <v>0</v>
      </c>
      <c r="H465" s="8">
        <f t="shared" si="38"/>
        <v>1</v>
      </c>
      <c r="I465" s="8">
        <f t="shared" si="38"/>
        <v>6</v>
      </c>
      <c r="J465" s="8">
        <f t="shared" si="39"/>
        <v>1</v>
      </c>
      <c r="K465" s="15">
        <v>2.3148148466134444E-4</v>
      </c>
      <c r="M465" s="8">
        <f t="shared" si="41"/>
        <v>560</v>
      </c>
      <c r="N465" s="9" t="s">
        <v>63</v>
      </c>
      <c r="O465" s="9" t="s">
        <v>16</v>
      </c>
      <c r="P465" s="9">
        <v>1185</v>
      </c>
      <c r="Q465" s="9">
        <v>142</v>
      </c>
      <c r="R465" s="8" t="s">
        <v>17</v>
      </c>
      <c r="S465" s="11">
        <v>13</v>
      </c>
      <c r="T465" s="10">
        <v>0.27</v>
      </c>
    </row>
    <row r="466" spans="1:20" x14ac:dyDescent="0.3">
      <c r="A466" s="7">
        <f t="shared" si="42"/>
        <v>461</v>
      </c>
      <c r="B466" s="8">
        <v>3</v>
      </c>
      <c r="C466" s="9" t="str">
        <f t="shared" si="40"/>
        <v>5610x85185fe3A4e36079818Ba1d12705A9B6898997040xa60AdD2af71a4f50b3F94509E71a1e9DbDeA5dDa1781166unidade1150027</v>
      </c>
      <c r="D466" s="13"/>
      <c r="E466" s="8" t="s">
        <v>1399</v>
      </c>
      <c r="F466" s="8">
        <f t="shared" si="38"/>
        <v>0</v>
      </c>
      <c r="G466" s="8">
        <f t="shared" si="38"/>
        <v>0</v>
      </c>
      <c r="H466" s="8">
        <f t="shared" si="38"/>
        <v>3</v>
      </c>
      <c r="I466" s="8">
        <f t="shared" si="38"/>
        <v>5</v>
      </c>
      <c r="J466" s="8">
        <f t="shared" si="39"/>
        <v>3</v>
      </c>
      <c r="K466" s="15">
        <v>0</v>
      </c>
      <c r="M466" s="8">
        <f t="shared" si="41"/>
        <v>561</v>
      </c>
      <c r="N466" s="9" t="s">
        <v>63</v>
      </c>
      <c r="O466" s="9" t="s">
        <v>16</v>
      </c>
      <c r="P466" s="9">
        <v>1781</v>
      </c>
      <c r="Q466" s="9">
        <v>166</v>
      </c>
      <c r="R466" s="8" t="s">
        <v>17</v>
      </c>
      <c r="S466" s="11">
        <v>115</v>
      </c>
      <c r="T466" s="10">
        <v>0.27</v>
      </c>
    </row>
    <row r="467" spans="1:20" x14ac:dyDescent="0.3">
      <c r="A467" s="7">
        <f t="shared" si="42"/>
        <v>462</v>
      </c>
      <c r="B467" s="8">
        <v>184</v>
      </c>
      <c r="C467" s="9" t="str">
        <f t="shared" si="40"/>
        <v>5620x85185fe3A4e36079818Ba1d12705A9B6898997040xa60AdD2af71a4f50b3F94509E71a1e9DbDeA5dDa353116unidade990027</v>
      </c>
      <c r="D467" s="13"/>
      <c r="E467" s="8" t="s">
        <v>1400</v>
      </c>
      <c r="F467" s="8">
        <f t="shared" si="38"/>
        <v>0</v>
      </c>
      <c r="G467" s="8">
        <f t="shared" si="38"/>
        <v>0</v>
      </c>
      <c r="H467" s="8">
        <f t="shared" si="38"/>
        <v>7</v>
      </c>
      <c r="I467" s="8">
        <f t="shared" si="38"/>
        <v>8</v>
      </c>
      <c r="J467" s="8">
        <f t="shared" si="39"/>
        <v>7</v>
      </c>
      <c r="K467" s="15">
        <v>4.6296292566694319E-5</v>
      </c>
      <c r="M467" s="8">
        <f t="shared" si="41"/>
        <v>562</v>
      </c>
      <c r="N467" s="9" t="s">
        <v>63</v>
      </c>
      <c r="O467" s="9" t="s">
        <v>16</v>
      </c>
      <c r="P467" s="9">
        <v>353</v>
      </c>
      <c r="Q467" s="9">
        <v>116</v>
      </c>
      <c r="R467" s="8" t="s">
        <v>17</v>
      </c>
      <c r="S467" s="11">
        <v>99</v>
      </c>
      <c r="T467" s="10">
        <v>0.27</v>
      </c>
    </row>
    <row r="468" spans="1:20" x14ac:dyDescent="0.3">
      <c r="A468" s="7">
        <f t="shared" si="42"/>
        <v>463</v>
      </c>
      <c r="B468" s="8">
        <v>606</v>
      </c>
      <c r="C468" s="9" t="str">
        <f t="shared" si="40"/>
        <v>5630x85185fe3A4e36079818Ba1d12705A9B6898997040xa60AdD2af71a4f50b3F94509E71a1e9DbDeA5dDa1353200unidade610027</v>
      </c>
      <c r="D468" s="13"/>
      <c r="E468" s="8" t="s">
        <v>1401</v>
      </c>
      <c r="F468" s="8">
        <f t="shared" si="38"/>
        <v>0</v>
      </c>
      <c r="G468" s="8">
        <f t="shared" si="38"/>
        <v>0</v>
      </c>
      <c r="H468" s="8">
        <f t="shared" si="38"/>
        <v>1</v>
      </c>
      <c r="I468" s="8">
        <f t="shared" si="38"/>
        <v>1</v>
      </c>
      <c r="J468" s="8">
        <f t="shared" si="39"/>
        <v>1</v>
      </c>
      <c r="K468" s="15">
        <v>1.7361110803904012E-4</v>
      </c>
      <c r="M468" s="8">
        <f t="shared" si="41"/>
        <v>563</v>
      </c>
      <c r="N468" s="9" t="s">
        <v>63</v>
      </c>
      <c r="O468" s="9" t="s">
        <v>16</v>
      </c>
      <c r="P468" s="9">
        <v>1353</v>
      </c>
      <c r="Q468" s="9">
        <v>200</v>
      </c>
      <c r="R468" s="8" t="s">
        <v>17</v>
      </c>
      <c r="S468" s="11">
        <v>61</v>
      </c>
      <c r="T468" s="10">
        <v>0.27</v>
      </c>
    </row>
    <row r="469" spans="1:20" x14ac:dyDescent="0.3">
      <c r="A469" s="7">
        <f t="shared" si="42"/>
        <v>464</v>
      </c>
      <c r="B469" s="8">
        <v>283</v>
      </c>
      <c r="C469" s="9" t="str">
        <f t="shared" si="40"/>
        <v>5640x85185fe3A4e36079818Ba1d12705A9B6898997040xa60AdD2af71a4f50b3F94509E71a1e9DbDeA5dDa1330111unidade900027</v>
      </c>
      <c r="D469" s="13"/>
      <c r="E469" s="8" t="s">
        <v>1402</v>
      </c>
      <c r="F469" s="8">
        <f t="shared" si="38"/>
        <v>0</v>
      </c>
      <c r="G469" s="8">
        <f t="shared" si="38"/>
        <v>0</v>
      </c>
      <c r="H469" s="8">
        <f t="shared" si="38"/>
        <v>1</v>
      </c>
      <c r="I469" s="8">
        <f t="shared" si="38"/>
        <v>4</v>
      </c>
      <c r="J469" s="8">
        <f t="shared" si="39"/>
        <v>1</v>
      </c>
      <c r="K469" s="15">
        <v>8.101852290565148E-5</v>
      </c>
      <c r="M469" s="8">
        <f t="shared" si="41"/>
        <v>564</v>
      </c>
      <c r="N469" s="9" t="s">
        <v>63</v>
      </c>
      <c r="O469" s="9" t="s">
        <v>16</v>
      </c>
      <c r="P469" s="9">
        <v>1330</v>
      </c>
      <c r="Q469" s="9">
        <v>111</v>
      </c>
      <c r="R469" s="8" t="s">
        <v>17</v>
      </c>
      <c r="S469" s="11">
        <v>90</v>
      </c>
      <c r="T469" s="10">
        <v>0.27</v>
      </c>
    </row>
    <row r="470" spans="1:20" x14ac:dyDescent="0.3">
      <c r="A470" s="7">
        <f t="shared" si="42"/>
        <v>465</v>
      </c>
      <c r="B470" s="8">
        <v>81</v>
      </c>
      <c r="C470" s="9" t="str">
        <f t="shared" si="40"/>
        <v>5650x85185fe3A4e36079818Ba1d12705A9B6898997040xa60AdD2af71a4f50b3F94509E71a1e9DbDeA5dDa1793129unidade310027</v>
      </c>
      <c r="D470" s="13"/>
      <c r="E470" s="8" t="s">
        <v>1403</v>
      </c>
      <c r="F470" s="8">
        <f t="shared" si="38"/>
        <v>0</v>
      </c>
      <c r="G470" s="8">
        <f t="shared" si="38"/>
        <v>0</v>
      </c>
      <c r="H470" s="8">
        <f t="shared" si="38"/>
        <v>1</v>
      </c>
      <c r="I470" s="8">
        <f t="shared" si="38"/>
        <v>0</v>
      </c>
      <c r="J470" s="8">
        <f t="shared" si="39"/>
        <v>1</v>
      </c>
      <c r="K470" s="15">
        <v>2.314814628334716E-5</v>
      </c>
      <c r="M470" s="8">
        <f t="shared" si="41"/>
        <v>565</v>
      </c>
      <c r="N470" s="9" t="s">
        <v>63</v>
      </c>
      <c r="O470" s="9" t="s">
        <v>16</v>
      </c>
      <c r="P470" s="9">
        <v>1793</v>
      </c>
      <c r="Q470" s="9">
        <v>129</v>
      </c>
      <c r="R470" s="8" t="s">
        <v>17</v>
      </c>
      <c r="S470" s="11">
        <v>31</v>
      </c>
      <c r="T470" s="10">
        <v>0.27</v>
      </c>
    </row>
    <row r="471" spans="1:20" x14ac:dyDescent="0.3">
      <c r="A471" s="7">
        <f t="shared" si="42"/>
        <v>466</v>
      </c>
      <c r="B471" s="8">
        <v>47</v>
      </c>
      <c r="C471" s="9" t="str">
        <f t="shared" si="40"/>
        <v>5660x85185fe3A4e36079818Ba1d12705A9B6898997040xa60AdD2af71a4f50b3F94509E71a1e9DbDeA5dDa769140unidade1180027</v>
      </c>
      <c r="D471" s="13"/>
      <c r="E471" s="8" t="s">
        <v>1404</v>
      </c>
      <c r="F471" s="8">
        <f t="shared" si="38"/>
        <v>0</v>
      </c>
      <c r="G471" s="8">
        <f t="shared" si="38"/>
        <v>0</v>
      </c>
      <c r="H471" s="8">
        <f t="shared" si="38"/>
        <v>6</v>
      </c>
      <c r="I471" s="8">
        <f t="shared" ref="F471:L505" si="43">IFERROR(VALUE(MID($E471,I$1,1)),1)</f>
        <v>1</v>
      </c>
      <c r="J471" s="8">
        <f t="shared" si="39"/>
        <v>6</v>
      </c>
      <c r="K471" s="15">
        <v>1.1574076779652387E-5</v>
      </c>
      <c r="M471" s="8">
        <f t="shared" si="41"/>
        <v>566</v>
      </c>
      <c r="N471" s="9" t="s">
        <v>63</v>
      </c>
      <c r="O471" s="9" t="s">
        <v>16</v>
      </c>
      <c r="P471" s="9">
        <v>769</v>
      </c>
      <c r="Q471" s="9">
        <v>140</v>
      </c>
      <c r="R471" s="8" t="s">
        <v>17</v>
      </c>
      <c r="S471" s="11">
        <v>118</v>
      </c>
      <c r="T471" s="10">
        <v>0.27</v>
      </c>
    </row>
    <row r="472" spans="1:20" x14ac:dyDescent="0.3">
      <c r="A472" s="7">
        <f t="shared" si="42"/>
        <v>467</v>
      </c>
      <c r="B472" s="8">
        <v>432</v>
      </c>
      <c r="C472" s="9" t="str">
        <f t="shared" si="40"/>
        <v>5670x85185fe3A4e36079818Ba1d12705A9B6898997040xa60AdD2af71a4f50b3F94509E71a1e9DbDeA5dDa747192unidade720027</v>
      </c>
      <c r="D472" s="13"/>
      <c r="E472" s="8" t="s">
        <v>1405</v>
      </c>
      <c r="F472" s="8">
        <f t="shared" si="43"/>
        <v>0</v>
      </c>
      <c r="G472" s="8">
        <f t="shared" si="43"/>
        <v>0</v>
      </c>
      <c r="H472" s="8">
        <f t="shared" si="43"/>
        <v>3</v>
      </c>
      <c r="I472" s="8">
        <f t="shared" si="43"/>
        <v>2</v>
      </c>
      <c r="J472" s="8">
        <f t="shared" si="39"/>
        <v>3</v>
      </c>
      <c r="K472" s="15">
        <v>1.273148154723458E-4</v>
      </c>
      <c r="M472" s="8">
        <f t="shared" si="41"/>
        <v>567</v>
      </c>
      <c r="N472" s="9" t="s">
        <v>63</v>
      </c>
      <c r="O472" s="9" t="s">
        <v>16</v>
      </c>
      <c r="P472" s="9">
        <v>747</v>
      </c>
      <c r="Q472" s="9">
        <v>192</v>
      </c>
      <c r="R472" s="8" t="s">
        <v>17</v>
      </c>
      <c r="S472" s="11">
        <v>72</v>
      </c>
      <c r="T472" s="10">
        <v>0.27</v>
      </c>
    </row>
    <row r="473" spans="1:20" x14ac:dyDescent="0.3">
      <c r="A473" s="7">
        <f t="shared" si="42"/>
        <v>468</v>
      </c>
      <c r="B473" s="8">
        <v>283</v>
      </c>
      <c r="C473" s="9" t="str">
        <f t="shared" si="40"/>
        <v>5680x85185fe3A4e36079818Ba1d12705A9B6898997040xa60AdD2af71a4f50b3F94509E71a1e9DbDeA5dDa311164unidade360027</v>
      </c>
      <c r="D473" s="13"/>
      <c r="E473" s="8" t="s">
        <v>1406</v>
      </c>
      <c r="F473" s="8">
        <f t="shared" si="43"/>
        <v>0</v>
      </c>
      <c r="G473" s="8">
        <f t="shared" si="43"/>
        <v>0</v>
      </c>
      <c r="H473" s="8">
        <f t="shared" si="43"/>
        <v>1</v>
      </c>
      <c r="I473" s="8">
        <f t="shared" si="43"/>
        <v>5</v>
      </c>
      <c r="J473" s="8">
        <f t="shared" si="39"/>
        <v>1</v>
      </c>
      <c r="K473" s="15">
        <v>8.1018515629693866E-5</v>
      </c>
      <c r="M473" s="8">
        <f t="shared" si="41"/>
        <v>568</v>
      </c>
      <c r="N473" s="9" t="s">
        <v>63</v>
      </c>
      <c r="O473" s="9" t="s">
        <v>16</v>
      </c>
      <c r="P473" s="9">
        <v>311</v>
      </c>
      <c r="Q473" s="9">
        <v>164</v>
      </c>
      <c r="R473" s="8" t="s">
        <v>17</v>
      </c>
      <c r="S473" s="11">
        <v>36</v>
      </c>
      <c r="T473" s="10">
        <v>0.27</v>
      </c>
    </row>
    <row r="474" spans="1:20" x14ac:dyDescent="0.3">
      <c r="A474" s="7">
        <f t="shared" si="42"/>
        <v>469</v>
      </c>
      <c r="B474" s="8">
        <v>147</v>
      </c>
      <c r="C474" s="9" t="str">
        <f t="shared" si="40"/>
        <v>5690x85185fe3A4e36079818Ba1d12705A9B6898997040xa60AdD2af71a4f50b3F94509E71a1e9DbDeA5dDa1180181unidade890027</v>
      </c>
      <c r="D474" s="13"/>
      <c r="E474" s="8" t="s">
        <v>1407</v>
      </c>
      <c r="F474" s="8">
        <f t="shared" si="43"/>
        <v>0</v>
      </c>
      <c r="G474" s="8">
        <f t="shared" si="43"/>
        <v>0</v>
      </c>
      <c r="H474" s="8">
        <f t="shared" si="43"/>
        <v>1</v>
      </c>
      <c r="I474" s="8">
        <f t="shared" si="43"/>
        <v>3</v>
      </c>
      <c r="J474" s="8">
        <f t="shared" si="39"/>
        <v>1</v>
      </c>
      <c r="K474" s="15">
        <v>4.6296299842651933E-5</v>
      </c>
      <c r="M474" s="8">
        <f t="shared" si="41"/>
        <v>569</v>
      </c>
      <c r="N474" s="9" t="s">
        <v>63</v>
      </c>
      <c r="O474" s="9" t="s">
        <v>16</v>
      </c>
      <c r="P474" s="9">
        <v>1180</v>
      </c>
      <c r="Q474" s="9">
        <v>181</v>
      </c>
      <c r="R474" s="8" t="s">
        <v>17</v>
      </c>
      <c r="S474" s="11">
        <v>89</v>
      </c>
      <c r="T474" s="10">
        <v>0.27</v>
      </c>
    </row>
    <row r="475" spans="1:20" x14ac:dyDescent="0.3">
      <c r="A475" s="7">
        <f t="shared" si="42"/>
        <v>470</v>
      </c>
      <c r="B475" s="8">
        <v>794</v>
      </c>
      <c r="C475" s="9" t="str">
        <f t="shared" si="40"/>
        <v>5700x85185fe3A4e36079818Ba1d12705A9B6898997040xa60AdD2af71a4f50b3F94509E71a1e9DbDeA5dDa1048140unidade510027</v>
      </c>
      <c r="D475" s="13"/>
      <c r="E475" s="8" t="s">
        <v>937</v>
      </c>
      <c r="F475" s="8">
        <f t="shared" si="43"/>
        <v>0</v>
      </c>
      <c r="G475" s="8">
        <f t="shared" si="43"/>
        <v>0</v>
      </c>
      <c r="H475" s="8">
        <f t="shared" si="43"/>
        <v>0</v>
      </c>
      <c r="I475" s="8">
        <f t="shared" si="43"/>
        <v>6</v>
      </c>
      <c r="J475" s="8">
        <f t="shared" si="39"/>
        <v>0</v>
      </c>
      <c r="K475" s="15">
        <v>2.1990740788169205E-4</v>
      </c>
      <c r="M475" s="8">
        <f t="shared" si="41"/>
        <v>570</v>
      </c>
      <c r="N475" s="9" t="s">
        <v>63</v>
      </c>
      <c r="O475" s="9" t="s">
        <v>16</v>
      </c>
      <c r="P475" s="9">
        <v>1048</v>
      </c>
      <c r="Q475" s="9">
        <v>140</v>
      </c>
      <c r="R475" s="8" t="s">
        <v>17</v>
      </c>
      <c r="S475" s="11">
        <v>51</v>
      </c>
      <c r="T475" s="10">
        <v>0.27</v>
      </c>
    </row>
    <row r="476" spans="1:20" x14ac:dyDescent="0.3">
      <c r="A476" s="7">
        <f t="shared" si="42"/>
        <v>471</v>
      </c>
      <c r="B476" s="8">
        <v>264</v>
      </c>
      <c r="C476" s="9" t="str">
        <f t="shared" si="40"/>
        <v>5710x85185fe3A4e36079818Ba1d12705A9B6898997040xa60AdD2af71a4f50b3F94509E71a1e9DbDeA5dDa993188unidade1190027</v>
      </c>
      <c r="D476" s="13"/>
      <c r="E476" s="8" t="s">
        <v>1408</v>
      </c>
      <c r="F476" s="8">
        <f t="shared" si="43"/>
        <v>0</v>
      </c>
      <c r="G476" s="8">
        <f t="shared" si="43"/>
        <v>0</v>
      </c>
      <c r="H476" s="8">
        <f t="shared" si="43"/>
        <v>1</v>
      </c>
      <c r="I476" s="8">
        <f t="shared" si="43"/>
        <v>1</v>
      </c>
      <c r="J476" s="8">
        <f t="shared" si="39"/>
        <v>1</v>
      </c>
      <c r="K476" s="15">
        <v>8.1018515629693866E-5</v>
      </c>
      <c r="M476" s="8">
        <f t="shared" si="41"/>
        <v>571</v>
      </c>
      <c r="N476" s="9" t="s">
        <v>63</v>
      </c>
      <c r="O476" s="9" t="s">
        <v>16</v>
      </c>
      <c r="P476" s="9">
        <v>993</v>
      </c>
      <c r="Q476" s="9">
        <v>188</v>
      </c>
      <c r="R476" s="8" t="s">
        <v>17</v>
      </c>
      <c r="S476" s="11">
        <v>119</v>
      </c>
      <c r="T476" s="10">
        <v>0.27</v>
      </c>
    </row>
    <row r="477" spans="1:20" x14ac:dyDescent="0.3">
      <c r="A477" s="7">
        <f t="shared" si="42"/>
        <v>472</v>
      </c>
      <c r="B477" s="8">
        <v>89</v>
      </c>
      <c r="C477" s="9" t="str">
        <f t="shared" si="40"/>
        <v>5720x85185fe3A4e36079818Ba1d12705A9B6898997040xa60AdD2af71a4f50b3F94509E71a1e9DbDeA5dDa1114200unidade550027</v>
      </c>
      <c r="D477" s="13"/>
      <c r="E477" s="8" t="s">
        <v>1409</v>
      </c>
      <c r="F477" s="8">
        <f t="shared" si="43"/>
        <v>0</v>
      </c>
      <c r="G477" s="8">
        <f t="shared" si="43"/>
        <v>0</v>
      </c>
      <c r="H477" s="8">
        <f t="shared" si="43"/>
        <v>1</v>
      </c>
      <c r="I477" s="8">
        <f t="shared" si="43"/>
        <v>1</v>
      </c>
      <c r="J477" s="8">
        <f t="shared" si="39"/>
        <v>1</v>
      </c>
      <c r="K477" s="15">
        <v>2.314814628334716E-5</v>
      </c>
      <c r="M477" s="8">
        <f t="shared" si="41"/>
        <v>572</v>
      </c>
      <c r="N477" s="9" t="s">
        <v>63</v>
      </c>
      <c r="O477" s="9" t="s">
        <v>16</v>
      </c>
      <c r="P477" s="9">
        <v>1114</v>
      </c>
      <c r="Q477" s="9">
        <v>200</v>
      </c>
      <c r="R477" s="8" t="s">
        <v>17</v>
      </c>
      <c r="S477" s="11">
        <v>55</v>
      </c>
      <c r="T477" s="10">
        <v>0.27</v>
      </c>
    </row>
    <row r="478" spans="1:20" x14ac:dyDescent="0.3">
      <c r="A478" s="7">
        <f t="shared" si="42"/>
        <v>473</v>
      </c>
      <c r="B478" s="8">
        <v>115</v>
      </c>
      <c r="C478" s="9" t="str">
        <f t="shared" si="40"/>
        <v>5730x85185fe3A4e36079818Ba1d12705A9B6898997040xa60AdD2af71a4f50b3F94509E71a1e9DbDeA5dDa1936103unidade810027</v>
      </c>
      <c r="D478" s="13"/>
      <c r="E478" s="8" t="s">
        <v>1410</v>
      </c>
      <c r="F478" s="8">
        <f t="shared" si="43"/>
        <v>0</v>
      </c>
      <c r="G478" s="8">
        <f t="shared" si="43"/>
        <v>0</v>
      </c>
      <c r="H478" s="8">
        <f t="shared" si="43"/>
        <v>9</v>
      </c>
      <c r="I478" s="8">
        <f t="shared" si="43"/>
        <v>7</v>
      </c>
      <c r="J478" s="8">
        <f t="shared" si="39"/>
        <v>9</v>
      </c>
      <c r="K478" s="15">
        <v>3.4722223062999547E-5</v>
      </c>
      <c r="M478" s="8">
        <f t="shared" si="41"/>
        <v>573</v>
      </c>
      <c r="N478" s="9" t="s">
        <v>63</v>
      </c>
      <c r="O478" s="9" t="s">
        <v>16</v>
      </c>
      <c r="P478" s="9">
        <v>1936</v>
      </c>
      <c r="Q478" s="9">
        <v>103</v>
      </c>
      <c r="R478" s="8" t="s">
        <v>17</v>
      </c>
      <c r="S478" s="11">
        <v>81</v>
      </c>
      <c r="T478" s="10">
        <v>0.27</v>
      </c>
    </row>
    <row r="479" spans="1:20" x14ac:dyDescent="0.3">
      <c r="A479" s="7">
        <f t="shared" si="42"/>
        <v>474</v>
      </c>
      <c r="B479" s="8">
        <v>0</v>
      </c>
      <c r="C479" s="9" t="str">
        <f t="shared" si="40"/>
        <v>5740x85185fe3A4e36079818Ba1d12705A9B6898997040xa60AdD2af71a4f50b3F94509E71a1e9DbDeA5dDa1880152unidade700027</v>
      </c>
      <c r="D479" s="13"/>
      <c r="E479" s="8" t="s">
        <v>1411</v>
      </c>
      <c r="F479" s="8">
        <f t="shared" si="43"/>
        <v>0</v>
      </c>
      <c r="G479" s="8">
        <f t="shared" si="43"/>
        <v>0</v>
      </c>
      <c r="H479" s="8">
        <f t="shared" si="43"/>
        <v>1</v>
      </c>
      <c r="I479" s="8">
        <f t="shared" si="43"/>
        <v>6</v>
      </c>
      <c r="J479" s="8">
        <f t="shared" si="39"/>
        <v>1</v>
      </c>
      <c r="K479" s="15">
        <v>0</v>
      </c>
      <c r="M479" s="8">
        <f t="shared" si="41"/>
        <v>574</v>
      </c>
      <c r="N479" s="9" t="s">
        <v>63</v>
      </c>
      <c r="O479" s="9" t="s">
        <v>16</v>
      </c>
      <c r="P479" s="9">
        <v>1880</v>
      </c>
      <c r="Q479" s="9">
        <v>152</v>
      </c>
      <c r="R479" s="8" t="s">
        <v>17</v>
      </c>
      <c r="S479" s="11">
        <v>70</v>
      </c>
      <c r="T479" s="10">
        <v>0.27</v>
      </c>
    </row>
    <row r="480" spans="1:20" x14ac:dyDescent="0.3">
      <c r="A480" s="7">
        <f t="shared" si="42"/>
        <v>475</v>
      </c>
      <c r="B480" s="8">
        <v>114</v>
      </c>
      <c r="C480" s="9" t="str">
        <f t="shared" si="40"/>
        <v>5750x85185fe3A4e36079818Ba1d12705A9B6898997040xa60AdD2af71a4f50b3F94509E71a1e9DbDeA5dDa1269132unidade970027</v>
      </c>
      <c r="D480" s="13"/>
      <c r="E480" s="8" t="s">
        <v>1412</v>
      </c>
      <c r="F480" s="8">
        <f t="shared" si="43"/>
        <v>0</v>
      </c>
      <c r="G480" s="8">
        <f t="shared" si="43"/>
        <v>0</v>
      </c>
      <c r="H480" s="8">
        <f t="shared" si="43"/>
        <v>8</v>
      </c>
      <c r="I480" s="8">
        <f t="shared" si="43"/>
        <v>4</v>
      </c>
      <c r="J480" s="8">
        <f t="shared" si="39"/>
        <v>8</v>
      </c>
      <c r="K480" s="15">
        <v>3.4722223062999547E-5</v>
      </c>
      <c r="M480" s="8">
        <f t="shared" si="41"/>
        <v>575</v>
      </c>
      <c r="N480" s="9" t="s">
        <v>63</v>
      </c>
      <c r="O480" s="9" t="s">
        <v>16</v>
      </c>
      <c r="P480" s="9">
        <v>1269</v>
      </c>
      <c r="Q480" s="9">
        <v>132</v>
      </c>
      <c r="R480" s="8" t="s">
        <v>17</v>
      </c>
      <c r="S480" s="11">
        <v>97</v>
      </c>
      <c r="T480" s="10">
        <v>0.27</v>
      </c>
    </row>
    <row r="481" spans="1:20" x14ac:dyDescent="0.3">
      <c r="A481" s="7">
        <f t="shared" si="42"/>
        <v>476</v>
      </c>
      <c r="B481" s="8">
        <v>974</v>
      </c>
      <c r="C481" s="9" t="str">
        <f t="shared" si="40"/>
        <v>5760x85185fe3A4e36079818Ba1d12705A9B6898997040xa60AdD2af71a4f50b3F94509E71a1e9DbDeA5dDa1179122unidade720027</v>
      </c>
      <c r="D481" s="13"/>
      <c r="E481" s="8" t="s">
        <v>1413</v>
      </c>
      <c r="F481" s="8">
        <f t="shared" si="43"/>
        <v>0</v>
      </c>
      <c r="G481" s="8">
        <f t="shared" si="43"/>
        <v>0</v>
      </c>
      <c r="H481" s="8">
        <f t="shared" si="43"/>
        <v>9</v>
      </c>
      <c r="I481" s="8">
        <f t="shared" si="43"/>
        <v>8</v>
      </c>
      <c r="J481" s="8">
        <f t="shared" si="39"/>
        <v>9</v>
      </c>
      <c r="K481" s="15">
        <v>2.7777777722803876E-4</v>
      </c>
      <c r="M481" s="8">
        <f t="shared" si="41"/>
        <v>576</v>
      </c>
      <c r="N481" s="9" t="s">
        <v>63</v>
      </c>
      <c r="O481" s="9" t="s">
        <v>16</v>
      </c>
      <c r="P481" s="9">
        <v>1179</v>
      </c>
      <c r="Q481" s="9">
        <v>122</v>
      </c>
      <c r="R481" s="8" t="s">
        <v>17</v>
      </c>
      <c r="S481" s="11">
        <v>72</v>
      </c>
      <c r="T481" s="10">
        <v>0.27</v>
      </c>
    </row>
    <row r="482" spans="1:20" x14ac:dyDescent="0.3">
      <c r="A482" s="7">
        <f t="shared" si="42"/>
        <v>477</v>
      </c>
      <c r="B482" s="8">
        <v>178</v>
      </c>
      <c r="C482" s="9" t="str">
        <f t="shared" si="40"/>
        <v>5770x85185fe3A4e36079818Ba1d12705A9B6898997040xa60AdD2af71a4f50b3F94509E71a1e9DbDeA5dDa498140unidade550027</v>
      </c>
      <c r="D482" s="13"/>
      <c r="E482" s="8" t="s">
        <v>1414</v>
      </c>
      <c r="F482" s="8">
        <f t="shared" si="43"/>
        <v>0</v>
      </c>
      <c r="G482" s="8">
        <f t="shared" si="43"/>
        <v>0</v>
      </c>
      <c r="H482" s="8">
        <f t="shared" si="43"/>
        <v>1</v>
      </c>
      <c r="I482" s="8">
        <f t="shared" si="43"/>
        <v>0</v>
      </c>
      <c r="J482" s="8">
        <f t="shared" si="39"/>
        <v>1</v>
      </c>
      <c r="K482" s="15">
        <v>4.6296299842651933E-5</v>
      </c>
      <c r="M482" s="8">
        <f t="shared" si="41"/>
        <v>577</v>
      </c>
      <c r="N482" s="9" t="s">
        <v>63</v>
      </c>
      <c r="O482" s="9" t="s">
        <v>16</v>
      </c>
      <c r="P482" s="9">
        <v>498</v>
      </c>
      <c r="Q482" s="9">
        <v>140</v>
      </c>
      <c r="R482" s="8" t="s">
        <v>17</v>
      </c>
      <c r="S482" s="11">
        <v>55</v>
      </c>
      <c r="T482" s="10">
        <v>0.27</v>
      </c>
    </row>
    <row r="483" spans="1:20" x14ac:dyDescent="0.3">
      <c r="A483" s="7">
        <f t="shared" si="42"/>
        <v>478</v>
      </c>
      <c r="B483" s="8">
        <v>82</v>
      </c>
      <c r="C483" s="9" t="str">
        <f t="shared" si="40"/>
        <v>5780x85185fe3A4e36079818Ba1d12705A9B6898997040xa60AdD2af71a4f50b3F94509E71a1e9DbDeA5dDa969107unidade270027</v>
      </c>
      <c r="D483" s="13"/>
      <c r="E483" s="8" t="s">
        <v>1415</v>
      </c>
      <c r="F483" s="8">
        <f t="shared" si="43"/>
        <v>0</v>
      </c>
      <c r="G483" s="8">
        <f t="shared" si="43"/>
        <v>0</v>
      </c>
      <c r="H483" s="8">
        <f t="shared" si="43"/>
        <v>5</v>
      </c>
      <c r="I483" s="8">
        <f t="shared" si="43"/>
        <v>3</v>
      </c>
      <c r="J483" s="8">
        <f t="shared" si="39"/>
        <v>5</v>
      </c>
      <c r="K483" s="15">
        <v>2.314814628334716E-5</v>
      </c>
      <c r="M483" s="8">
        <f t="shared" si="41"/>
        <v>578</v>
      </c>
      <c r="N483" s="9" t="s">
        <v>63</v>
      </c>
      <c r="O483" s="9" t="s">
        <v>16</v>
      </c>
      <c r="P483" s="9">
        <v>969</v>
      </c>
      <c r="Q483" s="9">
        <v>107</v>
      </c>
      <c r="R483" s="8" t="s">
        <v>17</v>
      </c>
      <c r="S483" s="11">
        <v>27</v>
      </c>
      <c r="T483" s="10">
        <v>0.27</v>
      </c>
    </row>
    <row r="484" spans="1:20" x14ac:dyDescent="0.3">
      <c r="A484" s="7">
        <f t="shared" si="42"/>
        <v>479</v>
      </c>
      <c r="B484" s="8">
        <v>19</v>
      </c>
      <c r="C484" s="9" t="str">
        <f t="shared" si="40"/>
        <v>5790x85185fe3A4e36079818Ba1d12705A9B6898997040xa60AdD2af71a4f50b3F94509E71a1e9DbDeA5dDa1626148unidade340027</v>
      </c>
      <c r="D484" s="13"/>
      <c r="E484" s="8" t="s">
        <v>1416</v>
      </c>
      <c r="F484" s="8">
        <f t="shared" si="43"/>
        <v>0</v>
      </c>
      <c r="G484" s="8">
        <f t="shared" si="43"/>
        <v>0</v>
      </c>
      <c r="H484" s="8">
        <f t="shared" si="43"/>
        <v>1</v>
      </c>
      <c r="I484" s="8">
        <f t="shared" si="43"/>
        <v>5</v>
      </c>
      <c r="J484" s="8">
        <f t="shared" si="39"/>
        <v>1</v>
      </c>
      <c r="K484" s="15">
        <v>0</v>
      </c>
      <c r="M484" s="8">
        <f t="shared" si="41"/>
        <v>579</v>
      </c>
      <c r="N484" s="9" t="s">
        <v>63</v>
      </c>
      <c r="O484" s="9" t="s">
        <v>16</v>
      </c>
      <c r="P484" s="9">
        <v>1626</v>
      </c>
      <c r="Q484" s="9">
        <v>148</v>
      </c>
      <c r="R484" s="8" t="s">
        <v>17</v>
      </c>
      <c r="S484" s="11">
        <v>34</v>
      </c>
      <c r="T484" s="10">
        <v>0.27</v>
      </c>
    </row>
    <row r="485" spans="1:20" x14ac:dyDescent="0.3">
      <c r="A485" s="7">
        <f t="shared" si="42"/>
        <v>480</v>
      </c>
      <c r="B485" s="8">
        <v>112</v>
      </c>
      <c r="C485" s="9" t="str">
        <f t="shared" si="40"/>
        <v>5800x85185fe3A4e36079818Ba1d12705A9B6898997040xa60AdD2af71a4f50b3F94509E71a1e9DbDeA5dDa1767132unidade430027</v>
      </c>
      <c r="D485" s="13"/>
      <c r="E485" s="8" t="s">
        <v>1417</v>
      </c>
      <c r="F485" s="8">
        <f t="shared" si="43"/>
        <v>0</v>
      </c>
      <c r="G485" s="8">
        <f t="shared" si="43"/>
        <v>0</v>
      </c>
      <c r="H485" s="8">
        <f t="shared" si="43"/>
        <v>1</v>
      </c>
      <c r="I485" s="8">
        <f t="shared" si="43"/>
        <v>1</v>
      </c>
      <c r="J485" s="8">
        <f t="shared" si="39"/>
        <v>1</v>
      </c>
      <c r="K485" s="15">
        <v>3.4722223062999547E-5</v>
      </c>
      <c r="M485" s="8">
        <f t="shared" si="41"/>
        <v>580</v>
      </c>
      <c r="N485" s="9" t="s">
        <v>63</v>
      </c>
      <c r="O485" s="9" t="s">
        <v>16</v>
      </c>
      <c r="P485" s="9">
        <v>1767</v>
      </c>
      <c r="Q485" s="9">
        <v>132</v>
      </c>
      <c r="R485" s="8" t="s">
        <v>17</v>
      </c>
      <c r="S485" s="11">
        <v>43</v>
      </c>
      <c r="T485" s="10">
        <v>0.27</v>
      </c>
    </row>
    <row r="486" spans="1:20" x14ac:dyDescent="0.3">
      <c r="A486" s="7">
        <f t="shared" si="42"/>
        <v>481</v>
      </c>
      <c r="B486" s="8">
        <v>151</v>
      </c>
      <c r="C486" s="9" t="str">
        <f t="shared" si="40"/>
        <v>5810x85185fe3A4e36079818Ba1d12705A9B6898997040xa60AdD2af71a4f50b3F94509E71a1e9DbDeA5dDa1750190unidade420027</v>
      </c>
      <c r="D486" s="13"/>
      <c r="E486" s="8" t="s">
        <v>1418</v>
      </c>
      <c r="F486" s="8">
        <f t="shared" si="43"/>
        <v>0</v>
      </c>
      <c r="G486" s="8">
        <f t="shared" si="43"/>
        <v>0</v>
      </c>
      <c r="H486" s="8">
        <f t="shared" si="43"/>
        <v>1</v>
      </c>
      <c r="I486" s="8">
        <f t="shared" si="43"/>
        <v>1</v>
      </c>
      <c r="J486" s="8">
        <f t="shared" si="39"/>
        <v>1</v>
      </c>
      <c r="K486" s="15">
        <v>4.6296299842651933E-5</v>
      </c>
      <c r="M486" s="8">
        <f t="shared" si="41"/>
        <v>581</v>
      </c>
      <c r="N486" s="9" t="s">
        <v>63</v>
      </c>
      <c r="O486" s="9" t="s">
        <v>16</v>
      </c>
      <c r="P486" s="9">
        <v>1750</v>
      </c>
      <c r="Q486" s="9">
        <v>190</v>
      </c>
      <c r="R486" s="8" t="s">
        <v>17</v>
      </c>
      <c r="S486" s="11">
        <v>42</v>
      </c>
      <c r="T486" s="10">
        <v>0.27</v>
      </c>
    </row>
    <row r="487" spans="1:20" x14ac:dyDescent="0.3">
      <c r="A487" s="7">
        <f t="shared" si="42"/>
        <v>482</v>
      </c>
      <c r="B487" s="8">
        <v>490</v>
      </c>
      <c r="C487" s="9" t="str">
        <f t="shared" si="40"/>
        <v>5820x85185fe3A4e36079818Ba1d12705A9B6898997040xa60AdD2af71a4f50b3F94509E71a1e9DbDeA5dDa356114unidade820027</v>
      </c>
      <c r="D487" s="13"/>
      <c r="E487" s="8" t="s">
        <v>1419</v>
      </c>
      <c r="F487" s="8">
        <f t="shared" si="43"/>
        <v>0</v>
      </c>
      <c r="G487" s="8">
        <f t="shared" si="43"/>
        <v>0</v>
      </c>
      <c r="H487" s="8">
        <f t="shared" si="43"/>
        <v>5</v>
      </c>
      <c r="I487" s="8">
        <f t="shared" si="43"/>
        <v>1</v>
      </c>
      <c r="J487" s="8">
        <f t="shared" si="39"/>
        <v>5</v>
      </c>
      <c r="K487" s="15">
        <v>1.3888888497604057E-4</v>
      </c>
      <c r="M487" s="8">
        <f t="shared" si="41"/>
        <v>582</v>
      </c>
      <c r="N487" s="9" t="s">
        <v>63</v>
      </c>
      <c r="O487" s="9" t="s">
        <v>16</v>
      </c>
      <c r="P487" s="9">
        <v>356</v>
      </c>
      <c r="Q487" s="9">
        <v>114</v>
      </c>
      <c r="R487" s="8" t="s">
        <v>17</v>
      </c>
      <c r="S487" s="11">
        <v>82</v>
      </c>
      <c r="T487" s="10">
        <v>0.27</v>
      </c>
    </row>
    <row r="488" spans="1:20" x14ac:dyDescent="0.3">
      <c r="A488" s="7">
        <f t="shared" si="42"/>
        <v>483</v>
      </c>
      <c r="B488" s="8">
        <v>11</v>
      </c>
      <c r="C488" s="9" t="str">
        <f t="shared" si="40"/>
        <v>5830x85185fe3A4e36079818Ba1d12705A9B6898997040xa60AdD2af71a4f50b3F94509E71a1e9DbDeA5dDa172125unidade310027</v>
      </c>
      <c r="D488" s="13"/>
      <c r="E488" s="8" t="s">
        <v>1420</v>
      </c>
      <c r="F488" s="8">
        <f t="shared" si="43"/>
        <v>0</v>
      </c>
      <c r="G488" s="8">
        <f t="shared" si="43"/>
        <v>0</v>
      </c>
      <c r="H488" s="8">
        <f t="shared" si="43"/>
        <v>8</v>
      </c>
      <c r="I488" s="8">
        <f t="shared" si="43"/>
        <v>1</v>
      </c>
      <c r="J488" s="8">
        <f t="shared" si="39"/>
        <v>8</v>
      </c>
      <c r="K488" s="15">
        <v>0</v>
      </c>
      <c r="M488" s="8">
        <f t="shared" si="41"/>
        <v>583</v>
      </c>
      <c r="N488" s="9" t="s">
        <v>63</v>
      </c>
      <c r="O488" s="9" t="s">
        <v>16</v>
      </c>
      <c r="P488" s="9">
        <v>172</v>
      </c>
      <c r="Q488" s="9">
        <v>125</v>
      </c>
      <c r="R488" s="8" t="s">
        <v>17</v>
      </c>
      <c r="S488" s="11">
        <v>31</v>
      </c>
      <c r="T488" s="10">
        <v>0.27</v>
      </c>
    </row>
    <row r="489" spans="1:20" x14ac:dyDescent="0.3">
      <c r="A489" s="7">
        <f t="shared" si="42"/>
        <v>484</v>
      </c>
      <c r="B489" s="8">
        <v>266</v>
      </c>
      <c r="C489" s="9" t="str">
        <f t="shared" si="40"/>
        <v>5840x85185fe3A4e36079818Ba1d12705A9B6898997040xa60AdD2af71a4f50b3F94509E71a1e9DbDeA5dDa1633138unidade930027</v>
      </c>
      <c r="D489" s="13"/>
      <c r="E489" s="8" t="s">
        <v>1421</v>
      </c>
      <c r="F489" s="8">
        <f t="shared" si="43"/>
        <v>0</v>
      </c>
      <c r="G489" s="8">
        <f t="shared" si="43"/>
        <v>0</v>
      </c>
      <c r="H489" s="8">
        <f t="shared" si="43"/>
        <v>1</v>
      </c>
      <c r="I489" s="8">
        <f t="shared" si="43"/>
        <v>1</v>
      </c>
      <c r="J489" s="8">
        <f t="shared" si="39"/>
        <v>1</v>
      </c>
      <c r="K489" s="15">
        <v>8.101852290565148E-5</v>
      </c>
      <c r="M489" s="8">
        <f t="shared" si="41"/>
        <v>584</v>
      </c>
      <c r="N489" s="9" t="s">
        <v>63</v>
      </c>
      <c r="O489" s="9" t="s">
        <v>16</v>
      </c>
      <c r="P489" s="9">
        <v>1633</v>
      </c>
      <c r="Q489" s="9">
        <v>138</v>
      </c>
      <c r="R489" s="8" t="s">
        <v>17</v>
      </c>
      <c r="S489" s="11">
        <v>93</v>
      </c>
      <c r="T489" s="10">
        <v>0.27</v>
      </c>
    </row>
    <row r="490" spans="1:20" x14ac:dyDescent="0.3">
      <c r="A490" s="7">
        <f t="shared" si="42"/>
        <v>485</v>
      </c>
      <c r="B490" s="8">
        <v>842</v>
      </c>
      <c r="C490" s="9" t="str">
        <f t="shared" si="40"/>
        <v>5850x85185fe3A4e36079818Ba1d12705A9B6898997040xa60AdD2af71a4f50b3F94509E71a1e9DbDeA5dDa1189154unidade1030027</v>
      </c>
      <c r="D490" s="13"/>
      <c r="E490" s="8" t="s">
        <v>1422</v>
      </c>
      <c r="F490" s="8">
        <f t="shared" si="43"/>
        <v>0</v>
      </c>
      <c r="G490" s="8">
        <f t="shared" si="43"/>
        <v>0</v>
      </c>
      <c r="H490" s="8">
        <f t="shared" si="43"/>
        <v>1</v>
      </c>
      <c r="I490" s="8">
        <f t="shared" si="43"/>
        <v>1</v>
      </c>
      <c r="J490" s="8">
        <f t="shared" ref="J490:J525" si="44">SUM(F490:H490)</f>
        <v>1</v>
      </c>
      <c r="K490" s="15">
        <v>2.3148147738538682E-4</v>
      </c>
      <c r="M490" s="8">
        <f t="shared" si="41"/>
        <v>585</v>
      </c>
      <c r="N490" s="9" t="s">
        <v>63</v>
      </c>
      <c r="O490" s="9" t="s">
        <v>16</v>
      </c>
      <c r="P490" s="9">
        <v>1189</v>
      </c>
      <c r="Q490" s="9">
        <v>154</v>
      </c>
      <c r="R490" s="8" t="s">
        <v>17</v>
      </c>
      <c r="S490" s="11">
        <v>103</v>
      </c>
      <c r="T490" s="10">
        <v>0.27</v>
      </c>
    </row>
    <row r="491" spans="1:20" x14ac:dyDescent="0.3">
      <c r="A491" s="7">
        <f t="shared" si="42"/>
        <v>486</v>
      </c>
      <c r="B491" s="8">
        <v>101</v>
      </c>
      <c r="C491" s="9" t="str">
        <f t="shared" si="40"/>
        <v>5860x85185fe3A4e36079818Ba1d12705A9B6898997040xa60AdD2af71a4f50b3F94509E71a1e9DbDeA5dDa618149unidade590027</v>
      </c>
      <c r="D491" s="13"/>
      <c r="E491" s="8" t="s">
        <v>1423</v>
      </c>
      <c r="F491" s="8">
        <f t="shared" si="43"/>
        <v>0</v>
      </c>
      <c r="G491" s="8">
        <f t="shared" si="43"/>
        <v>0</v>
      </c>
      <c r="H491" s="8">
        <f t="shared" si="43"/>
        <v>8</v>
      </c>
      <c r="I491" s="8">
        <f t="shared" si="43"/>
        <v>6</v>
      </c>
      <c r="J491" s="8">
        <f t="shared" si="44"/>
        <v>8</v>
      </c>
      <c r="K491" s="15">
        <v>3.4722223062999547E-5</v>
      </c>
      <c r="M491" s="8">
        <f t="shared" si="41"/>
        <v>586</v>
      </c>
      <c r="N491" s="9" t="s">
        <v>63</v>
      </c>
      <c r="O491" s="9" t="s">
        <v>16</v>
      </c>
      <c r="P491" s="9">
        <v>618</v>
      </c>
      <c r="Q491" s="9">
        <v>149</v>
      </c>
      <c r="R491" s="8" t="s">
        <v>17</v>
      </c>
      <c r="S491" s="11">
        <v>59</v>
      </c>
      <c r="T491" s="10">
        <v>0.27</v>
      </c>
    </row>
    <row r="492" spans="1:20" x14ac:dyDescent="0.3">
      <c r="A492" s="7">
        <f t="shared" si="42"/>
        <v>487</v>
      </c>
      <c r="B492" s="8">
        <v>288</v>
      </c>
      <c r="C492" s="9" t="str">
        <f t="shared" si="40"/>
        <v>5870x85185fe3A4e36079818Ba1d12705A9B6898997040xa60AdD2af71a4f50b3F94509E71a1e9DbDeA5dDa591180unidade990027</v>
      </c>
      <c r="D492" s="13"/>
      <c r="E492" s="8" t="s">
        <v>1424</v>
      </c>
      <c r="F492" s="8">
        <f t="shared" si="43"/>
        <v>0</v>
      </c>
      <c r="G492" s="8">
        <f t="shared" si="43"/>
        <v>0</v>
      </c>
      <c r="H492" s="8">
        <f t="shared" si="43"/>
        <v>8</v>
      </c>
      <c r="I492" s="8">
        <f t="shared" si="43"/>
        <v>5</v>
      </c>
      <c r="J492" s="8">
        <f t="shared" si="44"/>
        <v>8</v>
      </c>
      <c r="K492" s="15">
        <v>8.101852290565148E-5</v>
      </c>
      <c r="M492" s="8">
        <f t="shared" si="41"/>
        <v>587</v>
      </c>
      <c r="N492" s="9" t="s">
        <v>63</v>
      </c>
      <c r="O492" s="9" t="s">
        <v>16</v>
      </c>
      <c r="P492" s="9">
        <v>591</v>
      </c>
      <c r="Q492" s="9">
        <v>180</v>
      </c>
      <c r="R492" s="8" t="s">
        <v>17</v>
      </c>
      <c r="S492" s="11">
        <v>99</v>
      </c>
      <c r="T492" s="10">
        <v>0.27</v>
      </c>
    </row>
    <row r="493" spans="1:20" x14ac:dyDescent="0.3">
      <c r="A493" s="7">
        <f t="shared" si="42"/>
        <v>488</v>
      </c>
      <c r="B493" s="8">
        <v>297</v>
      </c>
      <c r="C493" s="9" t="str">
        <f t="shared" si="40"/>
        <v>5880x85185fe3A4e36079818Ba1d12705A9B6898997040xa60AdD2af71a4f50b3F94509E71a1e9DbDeA5dDa1835164unidade210027</v>
      </c>
      <c r="D493" s="13"/>
      <c r="E493" s="8" t="s">
        <v>1425</v>
      </c>
      <c r="F493" s="8">
        <f t="shared" si="43"/>
        <v>0</v>
      </c>
      <c r="G493" s="8">
        <f t="shared" si="43"/>
        <v>0</v>
      </c>
      <c r="H493" s="8">
        <f t="shared" si="43"/>
        <v>1</v>
      </c>
      <c r="I493" s="8">
        <f t="shared" si="43"/>
        <v>3</v>
      </c>
      <c r="J493" s="8">
        <f t="shared" si="44"/>
        <v>1</v>
      </c>
      <c r="K493" s="15">
        <v>8.1018515629693866E-5</v>
      </c>
      <c r="M493" s="8">
        <f t="shared" si="41"/>
        <v>588</v>
      </c>
      <c r="N493" s="9" t="s">
        <v>63</v>
      </c>
      <c r="O493" s="9" t="s">
        <v>16</v>
      </c>
      <c r="P493" s="9">
        <v>1835</v>
      </c>
      <c r="Q493" s="9">
        <v>164</v>
      </c>
      <c r="R493" s="8" t="s">
        <v>17</v>
      </c>
      <c r="S493" s="11">
        <v>21</v>
      </c>
      <c r="T493" s="10">
        <v>0.27</v>
      </c>
    </row>
    <row r="494" spans="1:20" x14ac:dyDescent="0.3">
      <c r="A494" s="7">
        <f t="shared" si="42"/>
        <v>489</v>
      </c>
      <c r="B494" s="8">
        <v>339</v>
      </c>
      <c r="C494" s="9" t="str">
        <f t="shared" si="40"/>
        <v>5890x85185fe3A4e36079818Ba1d12705A9B6898997040xa60AdD2af71a4f50b3F94509E71a1e9DbDeA5dDa1684196unidade1150027</v>
      </c>
      <c r="D494" s="13"/>
      <c r="E494" s="8" t="s">
        <v>1426</v>
      </c>
      <c r="F494" s="8">
        <f t="shared" si="43"/>
        <v>0</v>
      </c>
      <c r="G494" s="8">
        <f t="shared" si="43"/>
        <v>0</v>
      </c>
      <c r="H494" s="8">
        <f t="shared" si="43"/>
        <v>5</v>
      </c>
      <c r="I494" s="8">
        <f t="shared" si="43"/>
        <v>4</v>
      </c>
      <c r="J494" s="8">
        <f t="shared" si="44"/>
        <v>5</v>
      </c>
      <c r="K494" s="15">
        <v>9.2592592409346253E-5</v>
      </c>
      <c r="M494" s="8">
        <f t="shared" si="41"/>
        <v>589</v>
      </c>
      <c r="N494" s="9" t="s">
        <v>63</v>
      </c>
      <c r="O494" s="9" t="s">
        <v>16</v>
      </c>
      <c r="P494" s="9">
        <v>1684</v>
      </c>
      <c r="Q494" s="9">
        <v>196</v>
      </c>
      <c r="R494" s="8" t="s">
        <v>17</v>
      </c>
      <c r="S494" s="11">
        <v>115</v>
      </c>
      <c r="T494" s="10">
        <v>0.27</v>
      </c>
    </row>
    <row r="495" spans="1:20" x14ac:dyDescent="0.3">
      <c r="A495" s="7">
        <f t="shared" si="42"/>
        <v>490</v>
      </c>
      <c r="B495" s="8">
        <v>114</v>
      </c>
      <c r="C495" s="9" t="str">
        <f t="shared" si="40"/>
        <v>5900x85185fe3A4e36079818Ba1d12705A9B6898997040xa60AdD2af71a4f50b3F94509E71a1e9DbDeA5dDa791193unidade730027</v>
      </c>
      <c r="D495" s="13"/>
      <c r="E495" s="8" t="s">
        <v>1427</v>
      </c>
      <c r="F495" s="8">
        <f t="shared" si="43"/>
        <v>0</v>
      </c>
      <c r="G495" s="8">
        <f t="shared" si="43"/>
        <v>0</v>
      </c>
      <c r="H495" s="8">
        <f t="shared" si="43"/>
        <v>1</v>
      </c>
      <c r="I495" s="8">
        <f t="shared" si="43"/>
        <v>1</v>
      </c>
      <c r="J495" s="8">
        <f t="shared" si="44"/>
        <v>1</v>
      </c>
      <c r="K495" s="15">
        <v>3.4722223062999547E-5</v>
      </c>
      <c r="M495" s="8">
        <f t="shared" si="41"/>
        <v>590</v>
      </c>
      <c r="N495" s="9" t="s">
        <v>63</v>
      </c>
      <c r="O495" s="9" t="s">
        <v>16</v>
      </c>
      <c r="P495" s="9">
        <v>791</v>
      </c>
      <c r="Q495" s="9">
        <v>193</v>
      </c>
      <c r="R495" s="8" t="s">
        <v>17</v>
      </c>
      <c r="S495" s="11">
        <v>73</v>
      </c>
      <c r="T495" s="10">
        <v>0.27</v>
      </c>
    </row>
    <row r="496" spans="1:20" x14ac:dyDescent="0.3">
      <c r="A496" s="7">
        <f t="shared" si="42"/>
        <v>491</v>
      </c>
      <c r="B496" s="8">
        <v>3</v>
      </c>
      <c r="C496" s="9" t="str">
        <f t="shared" si="40"/>
        <v>5910x85185fe3A4e36079818Ba1d12705A9B6898997040xa60AdD2af71a4f50b3F94509E71a1e9DbDeA5dDa1854184unidade820027</v>
      </c>
      <c r="D496" s="13"/>
      <c r="E496" s="8" t="s">
        <v>1428</v>
      </c>
      <c r="F496" s="8">
        <f t="shared" si="43"/>
        <v>0</v>
      </c>
      <c r="G496" s="8">
        <f t="shared" si="43"/>
        <v>0</v>
      </c>
      <c r="H496" s="8">
        <f t="shared" si="43"/>
        <v>1</v>
      </c>
      <c r="I496" s="8">
        <f t="shared" si="43"/>
        <v>6</v>
      </c>
      <c r="J496" s="8">
        <f t="shared" si="44"/>
        <v>1</v>
      </c>
      <c r="K496" s="15">
        <v>0</v>
      </c>
      <c r="M496" s="8">
        <f t="shared" si="41"/>
        <v>591</v>
      </c>
      <c r="N496" s="9" t="s">
        <v>63</v>
      </c>
      <c r="O496" s="9" t="s">
        <v>16</v>
      </c>
      <c r="P496" s="9">
        <v>1854</v>
      </c>
      <c r="Q496" s="9">
        <v>184</v>
      </c>
      <c r="R496" s="8" t="s">
        <v>17</v>
      </c>
      <c r="S496" s="11">
        <v>82</v>
      </c>
      <c r="T496" s="10">
        <v>0.27</v>
      </c>
    </row>
    <row r="497" spans="1:20" x14ac:dyDescent="0.3">
      <c r="A497" s="7">
        <f t="shared" si="42"/>
        <v>492</v>
      </c>
      <c r="B497" s="8">
        <v>357</v>
      </c>
      <c r="C497" s="9" t="str">
        <f t="shared" si="40"/>
        <v>5920x85185fe3A4e36079818Ba1d12705A9B6898997040xa60AdD2af71a4f50b3F94509E71a1e9DbDeA5dDa518140unidade180027</v>
      </c>
      <c r="D497" s="13"/>
      <c r="E497" s="8" t="s">
        <v>1429</v>
      </c>
      <c r="F497" s="8">
        <f t="shared" si="43"/>
        <v>0</v>
      </c>
      <c r="G497" s="8">
        <f t="shared" si="43"/>
        <v>0</v>
      </c>
      <c r="H497" s="8">
        <f t="shared" si="43"/>
        <v>4</v>
      </c>
      <c r="I497" s="8">
        <f t="shared" si="43"/>
        <v>1</v>
      </c>
      <c r="J497" s="8">
        <f t="shared" si="44"/>
        <v>4</v>
      </c>
      <c r="K497" s="15">
        <v>1.0416666918899864E-4</v>
      </c>
      <c r="M497" s="8">
        <f t="shared" si="41"/>
        <v>592</v>
      </c>
      <c r="N497" s="9" t="s">
        <v>63</v>
      </c>
      <c r="O497" s="9" t="s">
        <v>16</v>
      </c>
      <c r="P497" s="9">
        <v>518</v>
      </c>
      <c r="Q497" s="9">
        <v>140</v>
      </c>
      <c r="R497" s="8" t="s">
        <v>17</v>
      </c>
      <c r="S497" s="11">
        <v>18</v>
      </c>
      <c r="T497" s="10">
        <v>0.27</v>
      </c>
    </row>
    <row r="498" spans="1:20" x14ac:dyDescent="0.3">
      <c r="A498" s="7">
        <f t="shared" si="42"/>
        <v>493</v>
      </c>
      <c r="B498" s="8">
        <v>453</v>
      </c>
      <c r="C498" s="9" t="str">
        <f t="shared" si="40"/>
        <v>5930x85185fe3A4e36079818Ba1d12705A9B6898997040xa60AdD2af71a4f50b3F94509E71a1e9DbDeA5dDa1332153unidade1020027</v>
      </c>
      <c r="D498" s="13"/>
      <c r="E498" s="8" t="s">
        <v>1430</v>
      </c>
      <c r="F498" s="8">
        <f t="shared" si="43"/>
        <v>0</v>
      </c>
      <c r="G498" s="8">
        <f t="shared" si="43"/>
        <v>0</v>
      </c>
      <c r="H498" s="8">
        <f t="shared" si="43"/>
        <v>5</v>
      </c>
      <c r="I498" s="8">
        <f t="shared" si="43"/>
        <v>9</v>
      </c>
      <c r="J498" s="8">
        <f t="shared" si="44"/>
        <v>5</v>
      </c>
      <c r="K498" s="15">
        <v>1.2731480819638819E-4</v>
      </c>
      <c r="M498" s="8">
        <f t="shared" si="41"/>
        <v>593</v>
      </c>
      <c r="N498" s="9" t="s">
        <v>63</v>
      </c>
      <c r="O498" s="9" t="s">
        <v>16</v>
      </c>
      <c r="P498" s="9">
        <v>1332</v>
      </c>
      <c r="Q498" s="9">
        <v>153</v>
      </c>
      <c r="R498" s="8" t="s">
        <v>17</v>
      </c>
      <c r="S498" s="11">
        <v>102</v>
      </c>
      <c r="T498" s="10">
        <v>0.27</v>
      </c>
    </row>
    <row r="499" spans="1:20" x14ac:dyDescent="0.3">
      <c r="A499" s="7">
        <f t="shared" si="42"/>
        <v>494</v>
      </c>
      <c r="B499" s="8">
        <v>3</v>
      </c>
      <c r="C499" s="9" t="str">
        <f t="shared" si="40"/>
        <v>5940x85185fe3A4e36079818Ba1d12705A9B6898997040xa60AdD2af71a4f50b3F94509E71a1e9DbDeA5dDa322130unidade800027</v>
      </c>
      <c r="D499" s="13"/>
      <c r="E499" s="8" t="s">
        <v>1431</v>
      </c>
      <c r="F499" s="8">
        <f t="shared" si="43"/>
        <v>0</v>
      </c>
      <c r="G499" s="8">
        <f t="shared" si="43"/>
        <v>0</v>
      </c>
      <c r="H499" s="8">
        <f t="shared" si="43"/>
        <v>1</v>
      </c>
      <c r="I499" s="8">
        <f t="shared" si="43"/>
        <v>1</v>
      </c>
      <c r="J499" s="8">
        <f t="shared" si="44"/>
        <v>1</v>
      </c>
      <c r="K499" s="15">
        <v>0</v>
      </c>
      <c r="M499" s="8">
        <f t="shared" si="41"/>
        <v>594</v>
      </c>
      <c r="N499" s="9" t="s">
        <v>63</v>
      </c>
      <c r="O499" s="9" t="s">
        <v>16</v>
      </c>
      <c r="P499" s="9">
        <v>322</v>
      </c>
      <c r="Q499" s="9">
        <v>130</v>
      </c>
      <c r="R499" s="8" t="s">
        <v>17</v>
      </c>
      <c r="S499" s="11">
        <v>80</v>
      </c>
      <c r="T499" s="10">
        <v>0.27</v>
      </c>
    </row>
    <row r="500" spans="1:20" x14ac:dyDescent="0.3">
      <c r="A500" s="7">
        <f t="shared" si="42"/>
        <v>495</v>
      </c>
      <c r="B500" s="8">
        <v>58</v>
      </c>
      <c r="C500" s="9" t="str">
        <f t="shared" si="40"/>
        <v>5950x85185fe3A4e36079818Ba1d12705A9B6898997040xa60AdD2af71a4f50b3F94509E71a1e9DbDeA5dDa1902189unidade910027</v>
      </c>
      <c r="D500" s="13"/>
      <c r="E500" s="8" t="s">
        <v>1432</v>
      </c>
      <c r="F500" s="8">
        <f t="shared" si="43"/>
        <v>0</v>
      </c>
      <c r="G500" s="8">
        <f t="shared" si="43"/>
        <v>0</v>
      </c>
      <c r="H500" s="8">
        <f t="shared" si="43"/>
        <v>1</v>
      </c>
      <c r="I500" s="8">
        <f t="shared" si="43"/>
        <v>4</v>
      </c>
      <c r="J500" s="8">
        <f t="shared" si="44"/>
        <v>1</v>
      </c>
      <c r="K500" s="15">
        <v>2.3148153559304774E-5</v>
      </c>
      <c r="M500" s="8">
        <f t="shared" si="41"/>
        <v>595</v>
      </c>
      <c r="N500" s="9" t="s">
        <v>63</v>
      </c>
      <c r="O500" s="9" t="s">
        <v>16</v>
      </c>
      <c r="P500" s="9">
        <v>1902</v>
      </c>
      <c r="Q500" s="9">
        <v>189</v>
      </c>
      <c r="R500" s="8" t="s">
        <v>17</v>
      </c>
      <c r="S500" s="11">
        <v>91</v>
      </c>
      <c r="T500" s="10">
        <v>0.27</v>
      </c>
    </row>
    <row r="501" spans="1:20" x14ac:dyDescent="0.3">
      <c r="A501" s="7">
        <f t="shared" si="42"/>
        <v>496</v>
      </c>
      <c r="B501" s="8">
        <v>202</v>
      </c>
      <c r="C501" s="9" t="str">
        <f t="shared" si="40"/>
        <v>5960x85185fe3A4e36079818Ba1d12705A9B6898997040xa60AdD2af71a4f50b3F94509E71a1e9DbDeA5dDa1892166unidade330027</v>
      </c>
      <c r="D501" s="13"/>
      <c r="E501" s="8" t="s">
        <v>1433</v>
      </c>
      <c r="F501" s="8">
        <f t="shared" si="43"/>
        <v>0</v>
      </c>
      <c r="G501" s="8">
        <f t="shared" si="43"/>
        <v>0</v>
      </c>
      <c r="H501" s="8">
        <f t="shared" si="43"/>
        <v>3</v>
      </c>
      <c r="I501" s="8">
        <f t="shared" si="43"/>
        <v>1</v>
      </c>
      <c r="J501" s="8">
        <f t="shared" si="44"/>
        <v>3</v>
      </c>
      <c r="K501" s="15">
        <v>5.7870369346346706E-5</v>
      </c>
      <c r="M501" s="8">
        <f t="shared" si="41"/>
        <v>596</v>
      </c>
      <c r="N501" s="9" t="s">
        <v>63</v>
      </c>
      <c r="O501" s="9" t="s">
        <v>16</v>
      </c>
      <c r="P501" s="9">
        <v>1892</v>
      </c>
      <c r="Q501" s="9">
        <v>166</v>
      </c>
      <c r="R501" s="8" t="s">
        <v>17</v>
      </c>
      <c r="S501" s="11">
        <v>33</v>
      </c>
      <c r="T501" s="10">
        <v>0.27</v>
      </c>
    </row>
    <row r="502" spans="1:20" x14ac:dyDescent="0.3">
      <c r="A502" s="7">
        <f t="shared" si="42"/>
        <v>497</v>
      </c>
      <c r="B502" s="8">
        <v>309</v>
      </c>
      <c r="C502" s="9" t="str">
        <f t="shared" si="40"/>
        <v>5970x85185fe3A4e36079818Ba1d12705A9B6898997040xa60AdD2af71a4f50b3F94509E71a1e9DbDeA5dDa1669173unidade470027</v>
      </c>
      <c r="D502" s="13"/>
      <c r="E502" s="8" t="s">
        <v>1434</v>
      </c>
      <c r="F502" s="8">
        <f t="shared" si="43"/>
        <v>0</v>
      </c>
      <c r="G502" s="8">
        <f t="shared" si="43"/>
        <v>0</v>
      </c>
      <c r="H502" s="8">
        <f t="shared" si="43"/>
        <v>1</v>
      </c>
      <c r="I502" s="8">
        <f t="shared" si="43"/>
        <v>4</v>
      </c>
      <c r="J502" s="8">
        <f t="shared" si="44"/>
        <v>1</v>
      </c>
      <c r="K502" s="15">
        <v>8.1018515629693866E-5</v>
      </c>
      <c r="M502" s="8">
        <f t="shared" si="41"/>
        <v>597</v>
      </c>
      <c r="N502" s="9" t="s">
        <v>63</v>
      </c>
      <c r="O502" s="9" t="s">
        <v>16</v>
      </c>
      <c r="P502" s="9">
        <v>1669</v>
      </c>
      <c r="Q502" s="9">
        <v>173</v>
      </c>
      <c r="R502" s="8" t="s">
        <v>17</v>
      </c>
      <c r="S502" s="11">
        <v>47</v>
      </c>
      <c r="T502" s="10">
        <v>0.27</v>
      </c>
    </row>
    <row r="503" spans="1:20" x14ac:dyDescent="0.3">
      <c r="A503" s="7">
        <f t="shared" si="42"/>
        <v>498</v>
      </c>
      <c r="B503" s="8">
        <v>482</v>
      </c>
      <c r="C503" s="9" t="str">
        <f t="shared" si="40"/>
        <v>5980x85185fe3A4e36079818Ba1d12705A9B6898997040xa60AdD2af71a4f50b3F94509E71a1e9DbDeA5dDa251112unidade290027</v>
      </c>
      <c r="D503" s="13"/>
      <c r="E503" s="8" t="s">
        <v>1435</v>
      </c>
      <c r="F503" s="8">
        <f t="shared" si="43"/>
        <v>0</v>
      </c>
      <c r="G503" s="8">
        <f t="shared" si="43"/>
        <v>0</v>
      </c>
      <c r="H503" s="8">
        <f t="shared" si="43"/>
        <v>6</v>
      </c>
      <c r="I503" s="8">
        <f t="shared" si="43"/>
        <v>8</v>
      </c>
      <c r="J503" s="8">
        <f t="shared" si="44"/>
        <v>6</v>
      </c>
      <c r="K503" s="15">
        <v>1.3888889225199819E-4</v>
      </c>
      <c r="M503" s="8">
        <f t="shared" si="41"/>
        <v>598</v>
      </c>
      <c r="N503" s="9" t="s">
        <v>63</v>
      </c>
      <c r="O503" s="9" t="s">
        <v>16</v>
      </c>
      <c r="P503" s="9">
        <v>251</v>
      </c>
      <c r="Q503" s="9">
        <v>112</v>
      </c>
      <c r="R503" s="8" t="s">
        <v>17</v>
      </c>
      <c r="S503" s="11">
        <v>29</v>
      </c>
      <c r="T503" s="10">
        <v>0.27</v>
      </c>
    </row>
    <row r="504" spans="1:20" x14ac:dyDescent="0.3">
      <c r="A504" s="7">
        <f t="shared" si="42"/>
        <v>499</v>
      </c>
      <c r="B504" s="8">
        <v>228</v>
      </c>
      <c r="C504" s="9" t="str">
        <f t="shared" si="40"/>
        <v>5990x85185fe3A4e36079818Ba1d12705A9B6898997040xa60AdD2af71a4f50b3F94509E71a1e9DbDeA5dDa1981140unidade400027</v>
      </c>
      <c r="D504" s="13"/>
      <c r="E504" s="8" t="s">
        <v>1436</v>
      </c>
      <c r="F504" s="8">
        <f t="shared" si="43"/>
        <v>0</v>
      </c>
      <c r="G504" s="8">
        <f t="shared" si="43"/>
        <v>0</v>
      </c>
      <c r="H504" s="8">
        <f t="shared" si="43"/>
        <v>7</v>
      </c>
      <c r="I504" s="8">
        <f t="shared" si="43"/>
        <v>6</v>
      </c>
      <c r="J504" s="8">
        <f t="shared" si="44"/>
        <v>7</v>
      </c>
      <c r="K504" s="15">
        <v>6.9444446125999093E-5</v>
      </c>
      <c r="M504" s="8">
        <f t="shared" si="41"/>
        <v>599</v>
      </c>
      <c r="N504" s="9" t="s">
        <v>63</v>
      </c>
      <c r="O504" s="9" t="s">
        <v>16</v>
      </c>
      <c r="P504" s="9">
        <v>1981</v>
      </c>
      <c r="Q504" s="9">
        <v>140</v>
      </c>
      <c r="R504" s="8" t="s">
        <v>17</v>
      </c>
      <c r="S504" s="11">
        <v>40</v>
      </c>
      <c r="T504" s="10">
        <v>0.27</v>
      </c>
    </row>
    <row r="505" spans="1:20" x14ac:dyDescent="0.3">
      <c r="A505" s="7">
        <f t="shared" si="42"/>
        <v>500</v>
      </c>
      <c r="B505" s="8">
        <v>112</v>
      </c>
      <c r="C505" s="9" t="str">
        <f t="shared" si="40"/>
        <v>6000x85185fe3A4e36079818Ba1d12705A9B6898997040xa60AdD2af71a4f50b3F94509E71a1e9DbDeA5dDa1777132unidade1090027</v>
      </c>
      <c r="D505" s="13"/>
      <c r="E505" s="8" t="s">
        <v>1437</v>
      </c>
      <c r="F505" s="8">
        <f t="shared" si="43"/>
        <v>0</v>
      </c>
      <c r="G505" s="8">
        <f t="shared" si="43"/>
        <v>0</v>
      </c>
      <c r="H505" s="8">
        <f t="shared" si="43"/>
        <v>1</v>
      </c>
      <c r="I505" s="8">
        <f t="shared" si="43"/>
        <v>0</v>
      </c>
      <c r="J505" s="8">
        <f t="shared" si="44"/>
        <v>1</v>
      </c>
      <c r="K505" s="15">
        <v>3.4722215787041932E-5</v>
      </c>
      <c r="M505" s="8">
        <f t="shared" si="41"/>
        <v>600</v>
      </c>
      <c r="N505" s="9" t="s">
        <v>63</v>
      </c>
      <c r="O505" s="9" t="s">
        <v>16</v>
      </c>
      <c r="P505" s="9">
        <v>1777</v>
      </c>
      <c r="Q505" s="9">
        <v>132</v>
      </c>
      <c r="R505" s="8" t="s">
        <v>17</v>
      </c>
      <c r="S505" s="11">
        <v>109</v>
      </c>
      <c r="T505" s="10">
        <v>0.27</v>
      </c>
    </row>
    <row r="506" spans="1:20" x14ac:dyDescent="0.3">
      <c r="M506" s="8"/>
    </row>
    <row r="507" spans="1:20" x14ac:dyDescent="0.3">
      <c r="K507" s="21">
        <f>AVERAGE($K$5:$K$505)</f>
        <v>6.6302580028254637E-5</v>
      </c>
      <c r="M507" s="8"/>
    </row>
    <row r="508" spans="1:20" x14ac:dyDescent="0.3">
      <c r="K508" s="21">
        <f>_xlfn.STDEV.P($K$5:$K$505)</f>
        <v>6.7987369681879426E-5</v>
      </c>
      <c r="M508" s="8"/>
    </row>
    <row r="509" spans="1:20" x14ac:dyDescent="0.3">
      <c r="M509" s="8"/>
    </row>
    <row r="510" spans="1:20" x14ac:dyDescent="0.3">
      <c r="M510" s="8"/>
    </row>
    <row r="511" spans="1:20" x14ac:dyDescent="0.3">
      <c r="K511" s="22">
        <f>6/60</f>
        <v>0.1</v>
      </c>
      <c r="M511" s="8"/>
    </row>
    <row r="512" spans="1:20" x14ac:dyDescent="0.3">
      <c r="M512" s="8"/>
    </row>
    <row r="513" spans="13:13" x14ac:dyDescent="0.3">
      <c r="M513" s="8"/>
    </row>
    <row r="514" spans="13:13" x14ac:dyDescent="0.3">
      <c r="M514" s="8"/>
    </row>
    <row r="515" spans="13:13" x14ac:dyDescent="0.3">
      <c r="M515" s="8"/>
    </row>
    <row r="516" spans="13:13" x14ac:dyDescent="0.3">
      <c r="M516" s="8"/>
    </row>
    <row r="517" spans="13:13" x14ac:dyDescent="0.3">
      <c r="M517" s="8"/>
    </row>
    <row r="518" spans="13:13" x14ac:dyDescent="0.3">
      <c r="M518" s="8"/>
    </row>
    <row r="519" spans="13:13" x14ac:dyDescent="0.3">
      <c r="M519" s="8"/>
    </row>
    <row r="520" spans="13:13" x14ac:dyDescent="0.3">
      <c r="M520" s="8"/>
    </row>
    <row r="521" spans="13:13" x14ac:dyDescent="0.3">
      <c r="M521" s="8"/>
    </row>
    <row r="522" spans="13:13" x14ac:dyDescent="0.3">
      <c r="M522" s="8"/>
    </row>
    <row r="523" spans="13:13" x14ac:dyDescent="0.3">
      <c r="M523" s="8"/>
    </row>
    <row r="524" spans="13:13" x14ac:dyDescent="0.3">
      <c r="M524" s="8"/>
    </row>
    <row r="525" spans="13:13" x14ac:dyDescent="0.3">
      <c r="M525" s="8"/>
    </row>
    <row r="526" spans="13:13" x14ac:dyDescent="0.3">
      <c r="M526" s="8"/>
    </row>
    <row r="527" spans="13:13" x14ac:dyDescent="0.3">
      <c r="M527" s="8"/>
    </row>
    <row r="528" spans="13:13" x14ac:dyDescent="0.3">
      <c r="M528" s="8"/>
    </row>
    <row r="529" spans="13:13" x14ac:dyDescent="0.3">
      <c r="M529" s="8"/>
    </row>
    <row r="530" spans="13:13" x14ac:dyDescent="0.3">
      <c r="M530" s="8"/>
    </row>
    <row r="531" spans="13:13" x14ac:dyDescent="0.3">
      <c r="M531" s="8"/>
    </row>
    <row r="532" spans="13:13" x14ac:dyDescent="0.3">
      <c r="M532" s="8"/>
    </row>
    <row r="533" spans="13:13" x14ac:dyDescent="0.3">
      <c r="M533" s="8"/>
    </row>
    <row r="534" spans="13:13" x14ac:dyDescent="0.3">
      <c r="M534" s="8"/>
    </row>
    <row r="535" spans="13:13" x14ac:dyDescent="0.3">
      <c r="M535" s="8"/>
    </row>
    <row r="536" spans="13:13" x14ac:dyDescent="0.3">
      <c r="M536" s="8"/>
    </row>
    <row r="537" spans="13:13" x14ac:dyDescent="0.3">
      <c r="M537" s="8"/>
    </row>
    <row r="538" spans="13:13" x14ac:dyDescent="0.3">
      <c r="M538" s="8"/>
    </row>
    <row r="539" spans="13:13" x14ac:dyDescent="0.3">
      <c r="M539" s="8"/>
    </row>
    <row r="540" spans="13:13" x14ac:dyDescent="0.3">
      <c r="M540" s="8"/>
    </row>
    <row r="541" spans="13:13" x14ac:dyDescent="0.3">
      <c r="M541" s="8"/>
    </row>
    <row r="542" spans="13:13" x14ac:dyDescent="0.3">
      <c r="M542" s="8"/>
    </row>
    <row r="543" spans="13:13" x14ac:dyDescent="0.3">
      <c r="M543" s="8"/>
    </row>
    <row r="544" spans="13:13" x14ac:dyDescent="0.3">
      <c r="M544" s="8"/>
    </row>
    <row r="545" spans="13:13" x14ac:dyDescent="0.3">
      <c r="M545" s="8"/>
    </row>
    <row r="546" spans="13:13" x14ac:dyDescent="0.3">
      <c r="M546" s="8"/>
    </row>
    <row r="547" spans="13:13" x14ac:dyDescent="0.3">
      <c r="M547" s="8"/>
    </row>
    <row r="548" spans="13:13" x14ac:dyDescent="0.3">
      <c r="M548" s="8"/>
    </row>
    <row r="549" spans="13:13" x14ac:dyDescent="0.3">
      <c r="M549" s="8"/>
    </row>
    <row r="550" spans="13:13" x14ac:dyDescent="0.3">
      <c r="M550" s="8"/>
    </row>
    <row r="551" spans="13:13" x14ac:dyDescent="0.3">
      <c r="M551" s="8"/>
    </row>
    <row r="552" spans="13:13" x14ac:dyDescent="0.3">
      <c r="M552" s="8"/>
    </row>
    <row r="553" spans="13:13" x14ac:dyDescent="0.3">
      <c r="M553" s="8"/>
    </row>
    <row r="554" spans="13:13" x14ac:dyDescent="0.3">
      <c r="M554" s="8"/>
    </row>
    <row r="555" spans="13:13" x14ac:dyDescent="0.3">
      <c r="M555" s="8"/>
    </row>
    <row r="556" spans="13:13" x14ac:dyDescent="0.3">
      <c r="M556" s="8"/>
    </row>
    <row r="557" spans="13:13" x14ac:dyDescent="0.3">
      <c r="M557" s="8"/>
    </row>
    <row r="558" spans="13:13" x14ac:dyDescent="0.3">
      <c r="M558" s="8"/>
    </row>
    <row r="559" spans="13:13" x14ac:dyDescent="0.3">
      <c r="M559" s="8"/>
    </row>
    <row r="560" spans="13:13" x14ac:dyDescent="0.3">
      <c r="M560" s="8"/>
    </row>
    <row r="561" spans="13:13" x14ac:dyDescent="0.3">
      <c r="M561" s="8"/>
    </row>
    <row r="562" spans="13:13" x14ac:dyDescent="0.3">
      <c r="M562" s="8"/>
    </row>
    <row r="563" spans="13:13" x14ac:dyDescent="0.3">
      <c r="M563" s="8"/>
    </row>
    <row r="564" spans="13:13" x14ac:dyDescent="0.3">
      <c r="M564" s="8"/>
    </row>
    <row r="565" spans="13:13" x14ac:dyDescent="0.3">
      <c r="M565" s="8"/>
    </row>
    <row r="566" spans="13:13" x14ac:dyDescent="0.3">
      <c r="M566" s="8"/>
    </row>
    <row r="567" spans="13:13" x14ac:dyDescent="0.3">
      <c r="M567" s="8"/>
    </row>
    <row r="568" spans="13:13" x14ac:dyDescent="0.3">
      <c r="M568" s="8"/>
    </row>
    <row r="569" spans="13:13" x14ac:dyDescent="0.3">
      <c r="M569" s="8"/>
    </row>
    <row r="570" spans="13:13" x14ac:dyDescent="0.3">
      <c r="M570" s="8"/>
    </row>
    <row r="571" spans="13:13" x14ac:dyDescent="0.3">
      <c r="M571" s="8"/>
    </row>
    <row r="572" spans="13:13" x14ac:dyDescent="0.3">
      <c r="M572" s="8"/>
    </row>
    <row r="573" spans="13:13" x14ac:dyDescent="0.3">
      <c r="M573" s="8"/>
    </row>
    <row r="574" spans="13:13" x14ac:dyDescent="0.3">
      <c r="M574" s="8"/>
    </row>
    <row r="575" spans="13:13" x14ac:dyDescent="0.3">
      <c r="M575" s="8"/>
    </row>
    <row r="576" spans="13:13" x14ac:dyDescent="0.3">
      <c r="M576" s="8"/>
    </row>
    <row r="577" spans="13:13" x14ac:dyDescent="0.3">
      <c r="M577" s="8"/>
    </row>
    <row r="578" spans="13:13" x14ac:dyDescent="0.3">
      <c r="M578" s="8"/>
    </row>
    <row r="579" spans="13:13" x14ac:dyDescent="0.3">
      <c r="M579" s="8"/>
    </row>
    <row r="580" spans="13:13" x14ac:dyDescent="0.3">
      <c r="M580" s="8"/>
    </row>
    <row r="581" spans="13:13" x14ac:dyDescent="0.3">
      <c r="M581" s="8"/>
    </row>
    <row r="582" spans="13:13" x14ac:dyDescent="0.3">
      <c r="M582" s="8"/>
    </row>
    <row r="583" spans="13:13" x14ac:dyDescent="0.3">
      <c r="M583" s="8"/>
    </row>
    <row r="584" spans="13:13" x14ac:dyDescent="0.3">
      <c r="M584" s="8"/>
    </row>
    <row r="585" spans="13:13" x14ac:dyDescent="0.3">
      <c r="M585" s="8"/>
    </row>
    <row r="586" spans="13:13" x14ac:dyDescent="0.3">
      <c r="M586" s="8"/>
    </row>
    <row r="587" spans="13:13" x14ac:dyDescent="0.3">
      <c r="M587" s="8"/>
    </row>
    <row r="588" spans="13:13" x14ac:dyDescent="0.3">
      <c r="M588" s="8"/>
    </row>
    <row r="589" spans="13:13" x14ac:dyDescent="0.3">
      <c r="M589" s="8"/>
    </row>
    <row r="590" spans="13:13" x14ac:dyDescent="0.3">
      <c r="M590" s="8"/>
    </row>
    <row r="591" spans="13:13" x14ac:dyDescent="0.3">
      <c r="M591" s="8"/>
    </row>
    <row r="592" spans="13:13" x14ac:dyDescent="0.3">
      <c r="M592" s="8"/>
    </row>
    <row r="593" spans="13:13" x14ac:dyDescent="0.3">
      <c r="M593" s="8"/>
    </row>
    <row r="594" spans="13:13" x14ac:dyDescent="0.3">
      <c r="M594" s="8"/>
    </row>
    <row r="595" spans="13:13" x14ac:dyDescent="0.3">
      <c r="M595" s="8"/>
    </row>
    <row r="596" spans="13:13" x14ac:dyDescent="0.3">
      <c r="M596" s="8"/>
    </row>
    <row r="597" spans="13:13" x14ac:dyDescent="0.3">
      <c r="M597" s="8"/>
    </row>
    <row r="598" spans="13:13" x14ac:dyDescent="0.3">
      <c r="M598" s="8"/>
    </row>
    <row r="599" spans="13:13" x14ac:dyDescent="0.3">
      <c r="M599" s="8"/>
    </row>
    <row r="600" spans="13:13" x14ac:dyDescent="0.3">
      <c r="M600" s="8"/>
    </row>
    <row r="601" spans="13:13" x14ac:dyDescent="0.3">
      <c r="M601" s="8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99141-3632-423A-815D-0DECE1337405}">
  <sheetPr codeName="Planilha1"/>
  <dimension ref="B2:H25"/>
  <sheetViews>
    <sheetView topLeftCell="A12" zoomScale="110" zoomScaleNormal="110" workbookViewId="0">
      <selection activeCell="H25" sqref="H25"/>
    </sheetView>
  </sheetViews>
  <sheetFormatPr defaultRowHeight="13" x14ac:dyDescent="0.3"/>
  <cols>
    <col min="1" max="1" width="0.8984375" customWidth="1"/>
    <col min="3" max="3" width="0.8984375" customWidth="1"/>
    <col min="4" max="4" width="9.59765625" customWidth="1"/>
    <col min="5" max="5" width="0.8984375" customWidth="1"/>
    <col min="6" max="6" width="41.19921875" customWidth="1"/>
    <col min="7" max="7" width="0.8984375" customWidth="1"/>
    <col min="8" max="8" width="66.8984375" customWidth="1"/>
  </cols>
  <sheetData>
    <row r="2" spans="2:8" x14ac:dyDescent="0.3">
      <c r="D2">
        <v>123</v>
      </c>
      <c r="F2" t="str">
        <f>encrypt(D2)</f>
        <v>e3b0c44298fc1c149afbf4c8996fb92427ae41e4649b934ca495991b7852b855</v>
      </c>
      <c r="H2">
        <f>LEN(F2)</f>
        <v>64</v>
      </c>
    </row>
    <row r="3" spans="2:8" x14ac:dyDescent="0.3">
      <c r="D3" s="1"/>
    </row>
    <row r="4" spans="2:8" x14ac:dyDescent="0.3">
      <c r="F4" s="2"/>
    </row>
    <row r="5" spans="2:8" x14ac:dyDescent="0.3">
      <c r="F5" s="4"/>
    </row>
    <row r="6" spans="2:8" x14ac:dyDescent="0.3">
      <c r="B6">
        <f>LEN(D6)</f>
        <v>1</v>
      </c>
      <c r="D6">
        <v>2</v>
      </c>
      <c r="F6" s="4" t="str">
        <f>TEXT(D6,"'Geral'")</f>
        <v>'2'</v>
      </c>
      <c r="H6" t="str">
        <f>encrypt(F6)</f>
        <v>5283216360c3f6a2d03b04b7abb213f8943bbd4a5dbe86754a9d9ea327cc1927</v>
      </c>
    </row>
    <row r="7" spans="2:8" x14ac:dyDescent="0.3">
      <c r="B7">
        <f>LEN(D7)</f>
        <v>5</v>
      </c>
      <c r="D7">
        <v>35230</v>
      </c>
      <c r="F7" s="4" t="str">
        <f>TEXT(D7,"'Geral'")</f>
        <v>'35230'</v>
      </c>
      <c r="H7" t="str">
        <f>encrypt(F7)</f>
        <v>ae93a7458a9684f37df8146306db2b38f5f3f121e0af70c9643ab188cd537365</v>
      </c>
    </row>
    <row r="8" spans="2:8" x14ac:dyDescent="0.3">
      <c r="B8">
        <f>LEN(D8)</f>
        <v>64</v>
      </c>
      <c r="D8" s="2" t="s">
        <v>5</v>
      </c>
      <c r="F8" s="4" t="str">
        <f>TEXT(D8,"'Geral'")</f>
        <v>000015783b764259d382017d91a36d206d0600e2cbb3567748f46a33fe9297cf</v>
      </c>
      <c r="H8" t="str">
        <f>encrypt(F8)</f>
        <v>94d935184ded28d1ff7e74aa090315a4919c875bc2bb91bff07af2741ac26d31</v>
      </c>
    </row>
    <row r="9" spans="2:8" x14ac:dyDescent="0.3">
      <c r="B9">
        <f>LEN(D9)</f>
        <v>70</v>
      </c>
      <c r="D9" t="str">
        <f>D6&amp;D7&amp;D8</f>
        <v>235230000015783b764259d382017d91a36d206d0600e2cbb3567748f46a33fe9297cf</v>
      </c>
      <c r="F9" s="4" t="str">
        <f>TEXT(D9,"'Geral'")</f>
        <v>235230000015783b764259d382017d91a36d206d0600e2cbb3567748f46a33fe9297cf</v>
      </c>
      <c r="H9" s="3" t="str">
        <f>encrypt(F9)</f>
        <v>000012fa9b916eb9078f8d98a7864e697ae83ed54f5146bd84452cdafd043c19</v>
      </c>
    </row>
    <row r="11" spans="2:8" x14ac:dyDescent="0.3">
      <c r="H11" s="3" t="s">
        <v>6</v>
      </c>
    </row>
    <row r="12" spans="2:8" x14ac:dyDescent="0.3">
      <c r="D12" s="2"/>
    </row>
    <row r="14" spans="2:8" x14ac:dyDescent="0.3">
      <c r="B14">
        <f>LEN(D14)</f>
        <v>1</v>
      </c>
      <c r="D14">
        <v>3</v>
      </c>
      <c r="F14" s="4" t="str">
        <f>TEXT(D14,"'Geral'")</f>
        <v>'3'</v>
      </c>
      <c r="H14" t="str">
        <f>encrypt(F14)</f>
        <v>f55066853cd2d887d238ab27e85e6eb99fb891815d03bae4f1373e3a98c0cfda</v>
      </c>
    </row>
    <row r="15" spans="2:8" x14ac:dyDescent="0.3">
      <c r="B15">
        <f>LEN(D15)</f>
        <v>3</v>
      </c>
      <c r="D15" s="5">
        <v>974</v>
      </c>
      <c r="F15" s="4" t="str">
        <f>TEXT(D15,"'Geral'")</f>
        <v>'974'</v>
      </c>
      <c r="H15" t="str">
        <f>encrypt(F15)</f>
        <v>82df6c7c75062c95e1deaa839ed62a300dd9f36976767e939e20cced11517e4b</v>
      </c>
    </row>
    <row r="16" spans="2:8" x14ac:dyDescent="0.3">
      <c r="B16">
        <f>LEN(D16)</f>
        <v>64</v>
      </c>
      <c r="D16" s="2" t="str">
        <f>H9</f>
        <v>000012fa9b916eb9078f8d98a7864e697ae83ed54f5146bd84452cdafd043c19</v>
      </c>
      <c r="F16" s="4" t="str">
        <f>TEXT(D16,"'Geral'")</f>
        <v>000012fa9b916eb9078f8d98a7864e697ae83ed54f5146bd84452cdafd043c19</v>
      </c>
      <c r="H16" t="str">
        <f>encrypt(F16)</f>
        <v>8845561942709684d03193a392618e2ee1c6d13331596cf56e5da87f8febe27b</v>
      </c>
    </row>
    <row r="17" spans="2:8" x14ac:dyDescent="0.3">
      <c r="B17">
        <f>LEN(D17)</f>
        <v>68</v>
      </c>
      <c r="D17" t="str">
        <f>D14&amp;D15&amp;D16</f>
        <v>3974000012fa9b916eb9078f8d98a7864e697ae83ed54f5146bd84452cdafd043c19</v>
      </c>
      <c r="F17" s="4" t="str">
        <f>TEXT(D17,"'Geral'")</f>
        <v>3974000012fa9b916eb9078f8d98a7864e697ae83ed54f5146bd84452cdafd043c19</v>
      </c>
      <c r="H17" s="3" t="str">
        <f>encrypt(F17)</f>
        <v>0005f14ded76af05d7ea5c549bf0b32f1606315a72fecd852f5577621e5279b0</v>
      </c>
    </row>
    <row r="19" spans="2:8" x14ac:dyDescent="0.3">
      <c r="F19">
        <v>1</v>
      </c>
      <c r="H19">
        <f t="shared" ref="H19:H21" si="0">IFERROR(VALUE(MID($H$17,$F19,1)),1)</f>
        <v>0</v>
      </c>
    </row>
    <row r="20" spans="2:8" x14ac:dyDescent="0.3">
      <c r="F20">
        <v>2</v>
      </c>
      <c r="H20">
        <f t="shared" si="0"/>
        <v>0</v>
      </c>
    </row>
    <row r="21" spans="2:8" x14ac:dyDescent="0.3">
      <c r="F21">
        <v>3</v>
      </c>
      <c r="H21">
        <f t="shared" si="0"/>
        <v>0</v>
      </c>
    </row>
    <row r="22" spans="2:8" x14ac:dyDescent="0.3">
      <c r="F22">
        <v>4</v>
      </c>
      <c r="H22">
        <f>IFERROR(VALUE(MID($H$17,$F22,1)),1)</f>
        <v>5</v>
      </c>
    </row>
    <row r="24" spans="2:8" x14ac:dyDescent="0.3">
      <c r="H24">
        <f>SUM(H19:H21)</f>
        <v>0</v>
      </c>
    </row>
    <row r="25" spans="2:8" x14ac:dyDescent="0.3">
      <c r="H25" s="6">
        <v>2.6620370044838637E-4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D8E7-7456-4C93-ACE2-43EAC077B778}">
  <sheetPr codeName="Planilha2"/>
  <dimension ref="A1:Y601"/>
  <sheetViews>
    <sheetView showGridLines="0" zoomScale="80" zoomScaleNormal="80" workbookViewId="0">
      <pane xSplit="2" ySplit="4" topLeftCell="C492" activePane="bottomRight" state="frozen"/>
      <selection pane="topRight" activeCell="C1" sqref="C1"/>
      <selection pane="bottomLeft" activeCell="A5" sqref="A5"/>
      <selection pane="bottomRight" activeCell="M507" sqref="M507"/>
    </sheetView>
  </sheetViews>
  <sheetFormatPr defaultRowHeight="13" x14ac:dyDescent="0.3"/>
  <cols>
    <col min="1" max="1" width="8.796875" style="7"/>
    <col min="2" max="2" width="12.296875" style="7" customWidth="1"/>
    <col min="3" max="3" width="36" style="7" customWidth="1"/>
    <col min="4" max="4" width="59.69921875" style="7" bestFit="1" customWidth="1"/>
    <col min="5" max="5" width="60.19921875" style="7" bestFit="1" customWidth="1"/>
    <col min="6" max="9" width="1.8984375" style="7" bestFit="1" customWidth="1"/>
    <col min="10" max="10" width="3.3984375" style="7" customWidth="1"/>
    <col min="11" max="11" width="8.09765625" style="16" bestFit="1" customWidth="1"/>
    <col min="13" max="13" width="12.69921875" customWidth="1"/>
    <col min="14" max="14" width="39.3984375" bestFit="1" customWidth="1"/>
    <col min="15" max="15" width="40.19921875" bestFit="1" customWidth="1"/>
    <col min="16" max="20" width="12.69921875" customWidth="1"/>
    <col min="24" max="24" width="19.09765625" style="7" customWidth="1"/>
  </cols>
  <sheetData>
    <row r="1" spans="1:25" x14ac:dyDescent="0.3">
      <c r="B1" s="12" t="s">
        <v>3</v>
      </c>
      <c r="C1" s="12" t="s">
        <v>4</v>
      </c>
      <c r="D1" s="12" t="s">
        <v>0</v>
      </c>
      <c r="E1" s="12" t="s">
        <v>1</v>
      </c>
      <c r="F1" s="12">
        <v>1</v>
      </c>
      <c r="G1" s="12">
        <v>2</v>
      </c>
      <c r="H1" s="12">
        <v>3</v>
      </c>
      <c r="I1" s="12">
        <v>4</v>
      </c>
      <c r="J1" s="12" t="s">
        <v>66</v>
      </c>
      <c r="K1" s="14" t="s">
        <v>64</v>
      </c>
      <c r="V1" s="19">
        <f ca="1">INT(W1+(W2-W1)*RAND())</f>
        <v>0</v>
      </c>
      <c r="W1" s="19">
        <v>0.5</v>
      </c>
      <c r="X1" s="19">
        <v>104</v>
      </c>
      <c r="Y1" s="18">
        <v>3</v>
      </c>
    </row>
    <row r="2" spans="1:25" x14ac:dyDescent="0.3">
      <c r="A2" s="17">
        <v>500</v>
      </c>
      <c r="B2" s="8">
        <v>150</v>
      </c>
      <c r="C2" s="9" t="s">
        <v>967</v>
      </c>
      <c r="D2" s="13"/>
      <c r="E2" s="8" t="str">
        <f>encrypt(TEXT(B2&amp;C2&amp;D2,"Geral"))</f>
        <v>000bc72947ade9ade6e7d7c542c362b6774d756cda64f154def4ce7e2784b0e3</v>
      </c>
      <c r="F2" s="8">
        <f>IFERROR(VALUE(MID($E2,F$1,1)),1)</f>
        <v>0</v>
      </c>
      <c r="G2" s="8">
        <f t="shared" ref="G2:I2" si="0">IFERROR(VALUE(MID($E2,G$1,1)),1)</f>
        <v>0</v>
      </c>
      <c r="H2" s="8">
        <f t="shared" si="0"/>
        <v>0</v>
      </c>
      <c r="I2" s="8">
        <f t="shared" si="0"/>
        <v>1</v>
      </c>
      <c r="J2" s="8">
        <f>SUM(F2:H2)</f>
        <v>0</v>
      </c>
      <c r="K2" s="15">
        <v>1.1574076779652387E-5</v>
      </c>
      <c r="V2" s="19"/>
      <c r="W2" s="19">
        <v>1</v>
      </c>
      <c r="X2" s="19"/>
      <c r="Y2" s="19"/>
    </row>
    <row r="3" spans="1:25" x14ac:dyDescent="0.3">
      <c r="X3" s="20"/>
      <c r="Y3" s="20">
        <v>8.3333333896007389E-4</v>
      </c>
    </row>
    <row r="4" spans="1:25" x14ac:dyDescent="0.3">
      <c r="A4" s="12" t="s">
        <v>2</v>
      </c>
      <c r="B4" s="12" t="s">
        <v>3</v>
      </c>
      <c r="C4" s="12" t="s">
        <v>4</v>
      </c>
      <c r="D4" s="12" t="s">
        <v>0</v>
      </c>
      <c r="E4" s="12" t="s">
        <v>1</v>
      </c>
      <c r="F4" s="12">
        <v>1</v>
      </c>
      <c r="G4" s="12">
        <v>2</v>
      </c>
      <c r="H4" s="12">
        <v>3</v>
      </c>
      <c r="I4" s="12">
        <v>4</v>
      </c>
      <c r="J4" s="12" t="s">
        <v>66</v>
      </c>
      <c r="K4" s="14" t="s">
        <v>64</v>
      </c>
      <c r="M4" s="7" t="s">
        <v>7</v>
      </c>
      <c r="N4" s="7" t="s">
        <v>8</v>
      </c>
      <c r="O4" s="7" t="s">
        <v>9</v>
      </c>
      <c r="P4" s="7" t="s">
        <v>10</v>
      </c>
      <c r="Q4" s="7" t="s">
        <v>11</v>
      </c>
      <c r="R4" s="7" t="s">
        <v>12</v>
      </c>
      <c r="S4" s="7" t="s">
        <v>13</v>
      </c>
      <c r="T4" s="7" t="s">
        <v>14</v>
      </c>
      <c r="X4" s="20"/>
      <c r="Y4" s="20">
        <v>0</v>
      </c>
    </row>
    <row r="5" spans="1:25" x14ac:dyDescent="0.3">
      <c r="A5" s="7">
        <v>0</v>
      </c>
      <c r="B5" s="8">
        <v>2173</v>
      </c>
      <c r="C5" s="9" t="str">
        <f>M5&amp;N5&amp;O5&amp;P5&amp;Q5&amp;R5&amp;(S5*100)&amp;(T5*100)</f>
        <v>1000x85185fe3A4e36079818Ba1d12705A9B6898996580xa60AdD2af71a4f50b3F94509E71a1e9DbDeA5dDa1700236unidade1380027</v>
      </c>
      <c r="D5" s="13" t="s">
        <v>65</v>
      </c>
      <c r="E5" s="8" t="s">
        <v>167</v>
      </c>
      <c r="F5" s="8">
        <f>IFERROR(VALUE(MID($E5,F$1,1)),1)</f>
        <v>0</v>
      </c>
      <c r="G5" s="8">
        <f t="shared" ref="G5:I20" si="1">IFERROR(VALUE(MID($E5,G$1,1)),1)</f>
        <v>0</v>
      </c>
      <c r="H5" s="8">
        <f t="shared" si="1"/>
        <v>0</v>
      </c>
      <c r="I5" s="8">
        <f t="shared" si="1"/>
        <v>4</v>
      </c>
      <c r="J5" s="8">
        <f t="shared" ref="J5:J6" si="2">SUM(F5:H5)</f>
        <v>0</v>
      </c>
      <c r="K5" s="15">
        <v>4.9768518510973081E-4</v>
      </c>
      <c r="M5" s="8">
        <v>100</v>
      </c>
      <c r="N5" s="9" t="s">
        <v>15</v>
      </c>
      <c r="O5" s="9" t="s">
        <v>16</v>
      </c>
      <c r="P5" s="9">
        <v>1700</v>
      </c>
      <c r="Q5" s="9">
        <v>236</v>
      </c>
      <c r="R5" s="8" t="s">
        <v>17</v>
      </c>
      <c r="S5" s="11">
        <v>138</v>
      </c>
      <c r="T5" s="10">
        <v>0.27</v>
      </c>
      <c r="X5" s="20"/>
      <c r="Y5" s="20">
        <v>1.2384259243845008E-3</v>
      </c>
    </row>
    <row r="6" spans="1:25" x14ac:dyDescent="0.3">
      <c r="A6" s="7">
        <f>1+A5</f>
        <v>1</v>
      </c>
      <c r="B6" s="8">
        <v>11504</v>
      </c>
      <c r="C6" s="9" t="str">
        <f t="shared" ref="C6:C69" si="3">M6&amp;N6&amp;O6&amp;P6&amp;Q6&amp;R6&amp;(S6*100)&amp;(T6*100)</f>
        <v>1010x85185fe3A4e36079818Ba1d12705A9B6898996580xa60AdD2af71a4f50b3F94509E71a1e9DbDeA5dDa1866498unidade1390027</v>
      </c>
      <c r="D6" s="13" t="s">
        <v>67</v>
      </c>
      <c r="E6" s="8" t="s">
        <v>468</v>
      </c>
      <c r="F6" s="8">
        <f>IFERROR(VALUE(MID($E6,F$1,1)),1)</f>
        <v>0</v>
      </c>
      <c r="G6" s="8">
        <f t="shared" si="1"/>
        <v>0</v>
      </c>
      <c r="H6" s="8">
        <f t="shared" si="1"/>
        <v>0</v>
      </c>
      <c r="I6" s="8">
        <f t="shared" si="1"/>
        <v>8</v>
      </c>
      <c r="J6" s="8">
        <f t="shared" si="2"/>
        <v>0</v>
      </c>
      <c r="K6" s="15">
        <v>3.159722218697425E-3</v>
      </c>
      <c r="M6" s="8">
        <f t="shared" ref="M6:M37" si="4">1+M5</f>
        <v>101</v>
      </c>
      <c r="N6" s="9" t="s">
        <v>15</v>
      </c>
      <c r="O6" s="9" t="s">
        <v>16</v>
      </c>
      <c r="P6" s="9">
        <v>1866</v>
      </c>
      <c r="Q6" s="9">
        <v>498</v>
      </c>
      <c r="R6" s="8" t="s">
        <v>17</v>
      </c>
      <c r="S6" s="11">
        <v>139</v>
      </c>
      <c r="T6" s="10">
        <v>0.27</v>
      </c>
      <c r="X6" s="20"/>
      <c r="Y6" s="20">
        <v>1.2384259243845008E-3</v>
      </c>
    </row>
    <row r="7" spans="1:25" x14ac:dyDescent="0.3">
      <c r="A7" s="7">
        <f t="shared" ref="A7:A70" si="5">1+A6</f>
        <v>2</v>
      </c>
      <c r="B7" s="8">
        <v>3104</v>
      </c>
      <c r="C7" s="9" t="str">
        <f t="shared" si="3"/>
        <v>1020x85185fe3A4e36079818Ba1d12705A9B6898996580xa60AdD2af71a4f50b3F94509E71a1e9DbDeA5dDa1313433unidade1500027</v>
      </c>
      <c r="D7" s="13" t="s">
        <v>68</v>
      </c>
      <c r="E7" s="8" t="s">
        <v>469</v>
      </c>
      <c r="F7" s="8">
        <f t="shared" ref="F7:I38" si="6">IFERROR(VALUE(MID($E7,F$1,1)),1)</f>
        <v>0</v>
      </c>
      <c r="G7" s="8">
        <f t="shared" si="1"/>
        <v>0</v>
      </c>
      <c r="H7" s="8">
        <f t="shared" si="1"/>
        <v>0</v>
      </c>
      <c r="I7" s="8">
        <f t="shared" si="1"/>
        <v>1</v>
      </c>
      <c r="J7" s="8">
        <f t="shared" ref="J7:J70" si="7">SUM(F7:H7)</f>
        <v>0</v>
      </c>
      <c r="K7" s="15">
        <v>8.3333333896007389E-4</v>
      </c>
      <c r="M7" s="8">
        <f t="shared" si="4"/>
        <v>102</v>
      </c>
      <c r="N7" s="9" t="s">
        <v>15</v>
      </c>
      <c r="O7" s="9" t="s">
        <v>16</v>
      </c>
      <c r="P7" s="9">
        <v>1313</v>
      </c>
      <c r="Q7" s="9">
        <v>433</v>
      </c>
      <c r="R7" s="8" t="s">
        <v>17</v>
      </c>
      <c r="S7" s="11">
        <v>150</v>
      </c>
      <c r="T7" s="10">
        <v>0.27</v>
      </c>
      <c r="X7" s="20"/>
      <c r="Y7" s="20">
        <v>1.2384259316604584E-3</v>
      </c>
    </row>
    <row r="8" spans="1:25" x14ac:dyDescent="0.3">
      <c r="A8" s="7">
        <f t="shared" si="5"/>
        <v>3</v>
      </c>
      <c r="B8" s="8">
        <v>2579</v>
      </c>
      <c r="C8" s="9" t="str">
        <f t="shared" si="3"/>
        <v>1030x85185fe3A4e36079818Ba1d12705A9B6898996580xa60AdD2af71a4f50b3F94509E71a1e9DbDeA5dDa1705256unidade2500027</v>
      </c>
      <c r="D8" s="13" t="s">
        <v>69</v>
      </c>
      <c r="E8" s="8" t="s">
        <v>470</v>
      </c>
      <c r="F8" s="8">
        <f t="shared" si="6"/>
        <v>0</v>
      </c>
      <c r="G8" s="8">
        <f t="shared" si="1"/>
        <v>0</v>
      </c>
      <c r="H8" s="8">
        <f t="shared" si="1"/>
        <v>0</v>
      </c>
      <c r="I8" s="8">
        <f t="shared" si="1"/>
        <v>2</v>
      </c>
      <c r="J8" s="8">
        <f t="shared" si="7"/>
        <v>0</v>
      </c>
      <c r="K8" s="15">
        <v>7.2916666977107525E-4</v>
      </c>
      <c r="M8" s="8">
        <f t="shared" si="4"/>
        <v>103</v>
      </c>
      <c r="N8" s="9" t="s">
        <v>15</v>
      </c>
      <c r="O8" s="9" t="s">
        <v>16</v>
      </c>
      <c r="P8" s="9">
        <v>1705</v>
      </c>
      <c r="Q8" s="9">
        <v>256</v>
      </c>
      <c r="R8" s="8" t="s">
        <v>17</v>
      </c>
      <c r="S8" s="11">
        <v>250</v>
      </c>
      <c r="T8" s="10">
        <v>0.27</v>
      </c>
      <c r="X8" s="20"/>
      <c r="Y8" s="20"/>
    </row>
    <row r="9" spans="1:25" x14ac:dyDescent="0.3">
      <c r="A9" s="7">
        <f t="shared" si="5"/>
        <v>4</v>
      </c>
      <c r="B9" s="8">
        <v>3002</v>
      </c>
      <c r="C9" s="9" t="str">
        <f t="shared" si="3"/>
        <v>1040x85185fe3A4e36079818Ba1d12705A9B6898996580xa60AdD2af71a4f50b3F94509E71a1e9DbDeA5dDa1766476unidade1250027</v>
      </c>
      <c r="D9" s="13" t="s">
        <v>70</v>
      </c>
      <c r="E9" s="8" t="s">
        <v>471</v>
      </c>
      <c r="F9" s="8">
        <f t="shared" si="6"/>
        <v>0</v>
      </c>
      <c r="G9" s="8">
        <f t="shared" si="1"/>
        <v>0</v>
      </c>
      <c r="H9" s="8">
        <f t="shared" si="1"/>
        <v>0</v>
      </c>
      <c r="I9" s="8">
        <f t="shared" si="1"/>
        <v>1</v>
      </c>
      <c r="J9" s="8">
        <f t="shared" si="7"/>
        <v>0</v>
      </c>
      <c r="K9" s="15">
        <v>4.6296296204673126E-4</v>
      </c>
      <c r="M9" s="8">
        <f t="shared" si="4"/>
        <v>104</v>
      </c>
      <c r="N9" s="9" t="s">
        <v>15</v>
      </c>
      <c r="O9" s="9" t="s">
        <v>16</v>
      </c>
      <c r="P9" s="9">
        <v>1766</v>
      </c>
      <c r="Q9" s="9">
        <v>476</v>
      </c>
      <c r="R9" s="8" t="s">
        <v>17</v>
      </c>
      <c r="S9" s="11">
        <v>125</v>
      </c>
      <c r="T9" s="10">
        <v>0.27</v>
      </c>
      <c r="X9" s="20"/>
      <c r="Y9" s="20"/>
    </row>
    <row r="10" spans="1:25" x14ac:dyDescent="0.3">
      <c r="A10" s="7">
        <f t="shared" si="5"/>
        <v>5</v>
      </c>
      <c r="B10" s="8">
        <v>975</v>
      </c>
      <c r="C10" s="9" t="str">
        <f t="shared" si="3"/>
        <v>1050x85185fe3A4e36079818Ba1d12705A9B6898996580xa60AdD2af71a4f50b3F94509E71a1e9DbDeA5dDa1586290unidade960027</v>
      </c>
      <c r="D10" s="13" t="s">
        <v>71</v>
      </c>
      <c r="E10" s="8" t="s">
        <v>472</v>
      </c>
      <c r="F10" s="8">
        <f t="shared" si="6"/>
        <v>0</v>
      </c>
      <c r="G10" s="8">
        <f t="shared" si="1"/>
        <v>0</v>
      </c>
      <c r="H10" s="8">
        <f t="shared" si="1"/>
        <v>0</v>
      </c>
      <c r="I10" s="8">
        <f t="shared" si="1"/>
        <v>6</v>
      </c>
      <c r="J10" s="8">
        <f t="shared" si="7"/>
        <v>0</v>
      </c>
      <c r="K10" s="15">
        <v>9.2592592409346253E-5</v>
      </c>
      <c r="M10" s="8">
        <f t="shared" si="4"/>
        <v>105</v>
      </c>
      <c r="N10" s="9" t="s">
        <v>15</v>
      </c>
      <c r="O10" s="9" t="s">
        <v>16</v>
      </c>
      <c r="P10" s="9">
        <v>1586</v>
      </c>
      <c r="Q10" s="9">
        <v>290</v>
      </c>
      <c r="R10" s="8" t="s">
        <v>17</v>
      </c>
      <c r="S10" s="11">
        <v>96</v>
      </c>
      <c r="T10" s="10">
        <v>0.27</v>
      </c>
      <c r="X10" s="20"/>
      <c r="Y10" s="20"/>
    </row>
    <row r="11" spans="1:25" x14ac:dyDescent="0.3">
      <c r="A11" s="7">
        <f t="shared" si="5"/>
        <v>6</v>
      </c>
      <c r="B11" s="8">
        <v>2370</v>
      </c>
      <c r="C11" s="9" t="str">
        <f t="shared" si="3"/>
        <v>1060x85185fe3A4e36079818Ba1d12705A9B6898996580xa60AdD2af71a4f50b3F94509E71a1e9DbDeA5dDa1183106unidade1420027</v>
      </c>
      <c r="D11" s="13" t="s">
        <v>72</v>
      </c>
      <c r="E11" s="8" t="s">
        <v>473</v>
      </c>
      <c r="F11" s="8">
        <f t="shared" si="6"/>
        <v>0</v>
      </c>
      <c r="G11" s="8">
        <f t="shared" si="1"/>
        <v>0</v>
      </c>
      <c r="H11" s="8">
        <f t="shared" si="1"/>
        <v>0</v>
      </c>
      <c r="I11" s="8">
        <f t="shared" si="1"/>
        <v>1</v>
      </c>
      <c r="J11" s="8">
        <f t="shared" si="7"/>
        <v>0</v>
      </c>
      <c r="K11" s="15">
        <v>4.1666666948003694E-4</v>
      </c>
      <c r="M11" s="8">
        <f t="shared" si="4"/>
        <v>106</v>
      </c>
      <c r="N11" s="9" t="s">
        <v>15</v>
      </c>
      <c r="O11" s="9" t="s">
        <v>16</v>
      </c>
      <c r="P11" s="9">
        <v>1183</v>
      </c>
      <c r="Q11" s="9">
        <v>106</v>
      </c>
      <c r="R11" s="8" t="s">
        <v>17</v>
      </c>
      <c r="S11" s="11">
        <v>142</v>
      </c>
      <c r="T11" s="10">
        <v>0.27</v>
      </c>
      <c r="X11" s="20"/>
      <c r="Y11" s="20"/>
    </row>
    <row r="12" spans="1:25" x14ac:dyDescent="0.3">
      <c r="A12" s="7">
        <f t="shared" si="5"/>
        <v>7</v>
      </c>
      <c r="B12" s="8">
        <v>10704</v>
      </c>
      <c r="C12" s="9" t="str">
        <f t="shared" si="3"/>
        <v>1070x85185fe3A4e36079818Ba1d12705A9B6898996580xa60AdD2af71a4f50b3F94509E71a1e9DbDeA5dDa1851182unidade2380027</v>
      </c>
      <c r="D12" s="13" t="s">
        <v>73</v>
      </c>
      <c r="E12" s="8" t="s">
        <v>474</v>
      </c>
      <c r="F12" s="8">
        <f t="shared" si="6"/>
        <v>0</v>
      </c>
      <c r="G12" s="8">
        <f t="shared" si="1"/>
        <v>0</v>
      </c>
      <c r="H12" s="8">
        <f t="shared" si="1"/>
        <v>0</v>
      </c>
      <c r="I12" s="8">
        <f t="shared" si="1"/>
        <v>1</v>
      </c>
      <c r="J12" s="8">
        <f t="shared" si="7"/>
        <v>0</v>
      </c>
      <c r="K12" s="15">
        <v>2.6157407410209998E-3</v>
      </c>
      <c r="M12" s="8">
        <f t="shared" si="4"/>
        <v>107</v>
      </c>
      <c r="N12" s="9" t="s">
        <v>15</v>
      </c>
      <c r="O12" s="9" t="s">
        <v>16</v>
      </c>
      <c r="P12" s="9">
        <v>1851</v>
      </c>
      <c r="Q12" s="9">
        <v>182</v>
      </c>
      <c r="R12" s="8" t="s">
        <v>17</v>
      </c>
      <c r="S12" s="11">
        <v>238</v>
      </c>
      <c r="T12" s="10">
        <v>0.27</v>
      </c>
      <c r="X12" s="20"/>
      <c r="Y12" s="20"/>
    </row>
    <row r="13" spans="1:25" x14ac:dyDescent="0.3">
      <c r="A13" s="7">
        <f t="shared" si="5"/>
        <v>8</v>
      </c>
      <c r="B13" s="8">
        <v>3806</v>
      </c>
      <c r="C13" s="9" t="str">
        <f t="shared" si="3"/>
        <v>1080x85185fe3A4e36079818Ba1d12705A9B6898996580xa60AdD2af71a4f50b3F94509E71a1e9DbDeA5dDa1158485unidade1060027</v>
      </c>
      <c r="D13" s="13" t="s">
        <v>74</v>
      </c>
      <c r="E13" s="8" t="s">
        <v>475</v>
      </c>
      <c r="F13" s="8">
        <f t="shared" si="6"/>
        <v>0</v>
      </c>
      <c r="G13" s="8">
        <f t="shared" si="1"/>
        <v>0</v>
      </c>
      <c r="H13" s="8">
        <f t="shared" si="1"/>
        <v>0</v>
      </c>
      <c r="I13" s="8">
        <f t="shared" si="1"/>
        <v>6</v>
      </c>
      <c r="J13" s="8">
        <f t="shared" si="7"/>
        <v>0</v>
      </c>
      <c r="K13" s="15">
        <v>9.7222221666015685E-4</v>
      </c>
      <c r="M13" s="8">
        <f t="shared" si="4"/>
        <v>108</v>
      </c>
      <c r="N13" s="9" t="s">
        <v>15</v>
      </c>
      <c r="O13" s="9" t="s">
        <v>16</v>
      </c>
      <c r="P13" s="9">
        <v>1158</v>
      </c>
      <c r="Q13" s="9">
        <v>485</v>
      </c>
      <c r="R13" s="8" t="s">
        <v>17</v>
      </c>
      <c r="S13" s="11">
        <v>106</v>
      </c>
      <c r="T13" s="10">
        <v>0.27</v>
      </c>
      <c r="X13" s="20"/>
      <c r="Y13" s="20"/>
    </row>
    <row r="14" spans="1:25" x14ac:dyDescent="0.3">
      <c r="A14" s="7">
        <f t="shared" si="5"/>
        <v>9</v>
      </c>
      <c r="B14" s="8">
        <v>10058</v>
      </c>
      <c r="C14" s="9" t="str">
        <f t="shared" si="3"/>
        <v>1090x85185fe3A4e36079818Ba1d12705A9B6898996580xa60AdD2af71a4f50b3F94509E71a1e9DbDeA5dDa1299447unidade1640027</v>
      </c>
      <c r="D14" s="13" t="s">
        <v>75</v>
      </c>
      <c r="E14" s="8" t="s">
        <v>476</v>
      </c>
      <c r="F14" s="8">
        <f t="shared" si="6"/>
        <v>0</v>
      </c>
      <c r="G14" s="8">
        <f t="shared" si="1"/>
        <v>0</v>
      </c>
      <c r="H14" s="8">
        <f t="shared" si="1"/>
        <v>0</v>
      </c>
      <c r="I14" s="8">
        <f t="shared" si="1"/>
        <v>1</v>
      </c>
      <c r="J14" s="8">
        <f t="shared" si="7"/>
        <v>0</v>
      </c>
      <c r="K14" s="15">
        <v>2.6504629640839994E-3</v>
      </c>
      <c r="M14" s="8">
        <f t="shared" si="4"/>
        <v>109</v>
      </c>
      <c r="N14" s="9" t="s">
        <v>15</v>
      </c>
      <c r="O14" s="9" t="s">
        <v>16</v>
      </c>
      <c r="P14" s="9">
        <v>1299</v>
      </c>
      <c r="Q14" s="9">
        <v>447</v>
      </c>
      <c r="R14" s="8" t="s">
        <v>17</v>
      </c>
      <c r="S14" s="11">
        <v>164</v>
      </c>
      <c r="T14" s="10">
        <v>0.27</v>
      </c>
      <c r="X14" s="20"/>
      <c r="Y14" s="20"/>
    </row>
    <row r="15" spans="1:25" x14ac:dyDescent="0.3">
      <c r="A15" s="7">
        <f t="shared" si="5"/>
        <v>10</v>
      </c>
      <c r="B15" s="8">
        <v>8816</v>
      </c>
      <c r="C15" s="9" t="str">
        <f t="shared" si="3"/>
        <v>1100x85185fe3A4e36079818Ba1d12705A9B6898996580xa60AdD2af71a4f50b3F94509E71a1e9DbDeA5dDa1998175unidade960027</v>
      </c>
      <c r="D15" s="13" t="s">
        <v>76</v>
      </c>
      <c r="E15" s="8" t="s">
        <v>477</v>
      </c>
      <c r="F15" s="8">
        <f t="shared" si="6"/>
        <v>0</v>
      </c>
      <c r="G15" s="8">
        <f t="shared" si="1"/>
        <v>0</v>
      </c>
      <c r="H15" s="8">
        <f t="shared" si="1"/>
        <v>0</v>
      </c>
      <c r="I15" s="8">
        <f t="shared" si="1"/>
        <v>1</v>
      </c>
      <c r="J15" s="8">
        <f t="shared" si="7"/>
        <v>0</v>
      </c>
      <c r="K15" s="15">
        <v>2.3263888870133087E-3</v>
      </c>
      <c r="M15" s="8">
        <f t="shared" si="4"/>
        <v>110</v>
      </c>
      <c r="N15" s="9" t="s">
        <v>15</v>
      </c>
      <c r="O15" s="9" t="s">
        <v>16</v>
      </c>
      <c r="P15" s="9">
        <v>1998</v>
      </c>
      <c r="Q15" s="9">
        <v>175</v>
      </c>
      <c r="R15" s="8" t="s">
        <v>17</v>
      </c>
      <c r="S15" s="11">
        <v>96</v>
      </c>
      <c r="T15" s="10">
        <v>0.27</v>
      </c>
      <c r="X15" s="20"/>
      <c r="Y15" s="20"/>
    </row>
    <row r="16" spans="1:25" x14ac:dyDescent="0.3">
      <c r="A16" s="7">
        <f t="shared" si="5"/>
        <v>11</v>
      </c>
      <c r="B16" s="8">
        <v>215</v>
      </c>
      <c r="C16" s="9" t="str">
        <f t="shared" si="3"/>
        <v>1110x85185fe3A4e36079818Ba1d12705A9B6898996580xa60AdD2af71a4f50b3F94509E71a1e9DbDeA5dDa1382404unidade1410027</v>
      </c>
      <c r="D16" s="13" t="s">
        <v>77</v>
      </c>
      <c r="E16" s="8" t="s">
        <v>478</v>
      </c>
      <c r="F16" s="8">
        <f t="shared" si="6"/>
        <v>0</v>
      </c>
      <c r="G16" s="8">
        <f t="shared" si="1"/>
        <v>0</v>
      </c>
      <c r="H16" s="8">
        <f t="shared" si="1"/>
        <v>0</v>
      </c>
      <c r="I16" s="8">
        <f t="shared" si="1"/>
        <v>8</v>
      </c>
      <c r="J16" s="8">
        <f t="shared" si="7"/>
        <v>0</v>
      </c>
      <c r="K16" s="15">
        <v>5.787037662230432E-5</v>
      </c>
      <c r="M16" s="8">
        <f t="shared" si="4"/>
        <v>111</v>
      </c>
      <c r="N16" s="9" t="s">
        <v>15</v>
      </c>
      <c r="O16" s="9" t="s">
        <v>16</v>
      </c>
      <c r="P16" s="9">
        <v>1382</v>
      </c>
      <c r="Q16" s="9">
        <v>404</v>
      </c>
      <c r="R16" s="8" t="s">
        <v>17</v>
      </c>
      <c r="S16" s="11">
        <v>141</v>
      </c>
      <c r="T16" s="10">
        <v>0.27</v>
      </c>
      <c r="X16" s="20"/>
      <c r="Y16" s="20"/>
    </row>
    <row r="17" spans="1:25" x14ac:dyDescent="0.3">
      <c r="A17" s="7">
        <f t="shared" si="5"/>
        <v>12</v>
      </c>
      <c r="B17" s="8">
        <v>665</v>
      </c>
      <c r="C17" s="9" t="str">
        <f t="shared" si="3"/>
        <v>1120x85185fe3A4e36079818Ba1d12705A9B6898996580xa60AdD2af71a4f50b3F94509E71a1e9DbDeA5dDa1144228unidade1110027</v>
      </c>
      <c r="D17" s="13" t="s">
        <v>78</v>
      </c>
      <c r="E17" s="8" t="s">
        <v>479</v>
      </c>
      <c r="F17" s="8">
        <f t="shared" si="6"/>
        <v>0</v>
      </c>
      <c r="G17" s="8">
        <f t="shared" si="1"/>
        <v>0</v>
      </c>
      <c r="H17" s="8">
        <f t="shared" si="1"/>
        <v>0</v>
      </c>
      <c r="I17" s="8">
        <f t="shared" si="1"/>
        <v>1</v>
      </c>
      <c r="J17" s="8">
        <f t="shared" si="7"/>
        <v>0</v>
      </c>
      <c r="K17" s="15">
        <v>1.7361110803904012E-4</v>
      </c>
      <c r="M17" s="8">
        <f t="shared" si="4"/>
        <v>112</v>
      </c>
      <c r="N17" s="9" t="s">
        <v>15</v>
      </c>
      <c r="O17" s="9" t="s">
        <v>16</v>
      </c>
      <c r="P17" s="9">
        <v>1144</v>
      </c>
      <c r="Q17" s="9">
        <v>228</v>
      </c>
      <c r="R17" s="8" t="s">
        <v>17</v>
      </c>
      <c r="S17" s="11">
        <v>111</v>
      </c>
      <c r="T17" s="10">
        <v>0.27</v>
      </c>
      <c r="X17" s="20"/>
      <c r="Y17" s="20"/>
    </row>
    <row r="18" spans="1:25" x14ac:dyDescent="0.3">
      <c r="A18" s="7">
        <f t="shared" si="5"/>
        <v>13</v>
      </c>
      <c r="B18" s="8">
        <v>12597</v>
      </c>
      <c r="C18" s="9" t="str">
        <f t="shared" si="3"/>
        <v>1130x85185fe3A4e36079818Ba1d12705A9B6898996580xa60AdD2af71a4f50b3F94509E71a1e9DbDeA5dDa1604436unidade900027</v>
      </c>
      <c r="D18" s="13" t="s">
        <v>79</v>
      </c>
      <c r="E18" s="8" t="s">
        <v>480</v>
      </c>
      <c r="F18" s="8">
        <f t="shared" si="6"/>
        <v>0</v>
      </c>
      <c r="G18" s="8">
        <f t="shared" si="1"/>
        <v>0</v>
      </c>
      <c r="H18" s="8">
        <f t="shared" si="1"/>
        <v>0</v>
      </c>
      <c r="I18" s="8">
        <f t="shared" si="1"/>
        <v>1</v>
      </c>
      <c r="J18" s="8">
        <f t="shared" si="7"/>
        <v>0</v>
      </c>
      <c r="K18" s="15">
        <v>3.2638888878864236E-3</v>
      </c>
      <c r="M18" s="8">
        <f t="shared" si="4"/>
        <v>113</v>
      </c>
      <c r="N18" s="9" t="s">
        <v>15</v>
      </c>
      <c r="O18" s="9" t="s">
        <v>16</v>
      </c>
      <c r="P18" s="9">
        <v>1604</v>
      </c>
      <c r="Q18" s="9">
        <v>436</v>
      </c>
      <c r="R18" s="8" t="s">
        <v>17</v>
      </c>
      <c r="S18" s="11">
        <v>90</v>
      </c>
      <c r="T18" s="10">
        <v>0.27</v>
      </c>
      <c r="X18" s="20"/>
      <c r="Y18" s="20"/>
    </row>
    <row r="19" spans="1:25" x14ac:dyDescent="0.3">
      <c r="A19" s="7">
        <f t="shared" si="5"/>
        <v>14</v>
      </c>
      <c r="B19" s="8">
        <v>2152</v>
      </c>
      <c r="C19" s="9" t="str">
        <f t="shared" si="3"/>
        <v>1140x85185fe3A4e36079818Ba1d12705A9B6898996580xa60AdD2af71a4f50b3F94509E71a1e9DbDeA5dDa1699231unidade860027</v>
      </c>
      <c r="D19" s="13" t="s">
        <v>80</v>
      </c>
      <c r="E19" s="8" t="s">
        <v>481</v>
      </c>
      <c r="F19" s="8">
        <f t="shared" si="6"/>
        <v>0</v>
      </c>
      <c r="G19" s="8">
        <f t="shared" si="1"/>
        <v>0</v>
      </c>
      <c r="H19" s="8">
        <f t="shared" si="1"/>
        <v>0</v>
      </c>
      <c r="I19" s="8">
        <f t="shared" si="1"/>
        <v>1</v>
      </c>
      <c r="J19" s="8">
        <f t="shared" si="7"/>
        <v>0</v>
      </c>
      <c r="K19" s="15">
        <v>5.5555555445607752E-4</v>
      </c>
      <c r="M19" s="8">
        <f t="shared" si="4"/>
        <v>114</v>
      </c>
      <c r="N19" s="9" t="s">
        <v>15</v>
      </c>
      <c r="O19" s="9" t="s">
        <v>16</v>
      </c>
      <c r="P19" s="9">
        <v>1699</v>
      </c>
      <c r="Q19" s="9">
        <v>231</v>
      </c>
      <c r="R19" s="8" t="s">
        <v>17</v>
      </c>
      <c r="S19" s="11">
        <v>86</v>
      </c>
      <c r="T19" s="10">
        <v>0.27</v>
      </c>
      <c r="X19" s="20"/>
      <c r="Y19" s="20"/>
    </row>
    <row r="20" spans="1:25" x14ac:dyDescent="0.3">
      <c r="A20" s="7">
        <f t="shared" si="5"/>
        <v>15</v>
      </c>
      <c r="B20" s="8">
        <v>10822</v>
      </c>
      <c r="C20" s="9" t="str">
        <f t="shared" si="3"/>
        <v>1150x85185fe3A4e36079818Ba1d12705A9B6898996580xa60AdD2af71a4f50b3F94509E71a1e9DbDeA5dDa1634262unidade970027</v>
      </c>
      <c r="D20" s="13" t="s">
        <v>81</v>
      </c>
      <c r="E20" s="8" t="s">
        <v>482</v>
      </c>
      <c r="F20" s="8">
        <f t="shared" si="6"/>
        <v>0</v>
      </c>
      <c r="G20" s="8">
        <f t="shared" si="1"/>
        <v>0</v>
      </c>
      <c r="H20" s="8">
        <f t="shared" si="1"/>
        <v>0</v>
      </c>
      <c r="I20" s="8">
        <f t="shared" si="1"/>
        <v>8</v>
      </c>
      <c r="J20" s="8">
        <f t="shared" si="7"/>
        <v>0</v>
      </c>
      <c r="K20" s="15">
        <v>2.8009259258396924E-3</v>
      </c>
      <c r="M20" s="8">
        <f t="shared" si="4"/>
        <v>115</v>
      </c>
      <c r="N20" s="9" t="s">
        <v>15</v>
      </c>
      <c r="O20" s="9" t="s">
        <v>16</v>
      </c>
      <c r="P20" s="9">
        <v>1634</v>
      </c>
      <c r="Q20" s="9">
        <v>262</v>
      </c>
      <c r="R20" s="8" t="s">
        <v>17</v>
      </c>
      <c r="S20" s="11">
        <v>97</v>
      </c>
      <c r="T20" s="10">
        <v>0.27</v>
      </c>
      <c r="X20" s="20"/>
      <c r="Y20" s="20"/>
    </row>
    <row r="21" spans="1:25" x14ac:dyDescent="0.3">
      <c r="A21" s="7">
        <f t="shared" si="5"/>
        <v>16</v>
      </c>
      <c r="B21" s="8">
        <v>1391</v>
      </c>
      <c r="C21" s="9" t="str">
        <f t="shared" si="3"/>
        <v>1160x85185fe3A4e36079818Ba1d12705A9B6898996580xa60AdD2af71a4f50b3F94509E71a1e9DbDeA5dDa1114443unidade2170027</v>
      </c>
      <c r="D21" s="13" t="s">
        <v>82</v>
      </c>
      <c r="E21" s="8" t="s">
        <v>483</v>
      </c>
      <c r="F21" s="8">
        <f t="shared" si="6"/>
        <v>0</v>
      </c>
      <c r="G21" s="8">
        <f t="shared" si="6"/>
        <v>0</v>
      </c>
      <c r="H21" s="8">
        <f t="shared" si="6"/>
        <v>0</v>
      </c>
      <c r="I21" s="8">
        <f t="shared" si="6"/>
        <v>1</v>
      </c>
      <c r="J21" s="8">
        <f t="shared" si="7"/>
        <v>0</v>
      </c>
      <c r="K21" s="15">
        <v>3.5879630013369024E-4</v>
      </c>
      <c r="M21" s="8">
        <f t="shared" si="4"/>
        <v>116</v>
      </c>
      <c r="N21" s="9" t="s">
        <v>15</v>
      </c>
      <c r="O21" s="9" t="s">
        <v>16</v>
      </c>
      <c r="P21" s="9">
        <v>1114</v>
      </c>
      <c r="Q21" s="9">
        <v>443</v>
      </c>
      <c r="R21" s="8" t="s">
        <v>17</v>
      </c>
      <c r="S21" s="11">
        <v>217</v>
      </c>
      <c r="T21" s="10">
        <v>0.27</v>
      </c>
      <c r="X21" s="20"/>
      <c r="Y21" s="20"/>
    </row>
    <row r="22" spans="1:25" x14ac:dyDescent="0.3">
      <c r="A22" s="7">
        <f t="shared" si="5"/>
        <v>17</v>
      </c>
      <c r="B22" s="8">
        <v>552</v>
      </c>
      <c r="C22" s="9" t="str">
        <f t="shared" si="3"/>
        <v>1170x85185fe3A4e36079818Ba1d12705A9B6898996580xa60AdD2af71a4f50b3F94509E71a1e9DbDeA5dDa1124182unidade650027</v>
      </c>
      <c r="D22" s="13" t="s">
        <v>83</v>
      </c>
      <c r="E22" s="8" t="s">
        <v>484</v>
      </c>
      <c r="F22" s="8">
        <f t="shared" si="6"/>
        <v>0</v>
      </c>
      <c r="G22" s="8">
        <f t="shared" si="6"/>
        <v>0</v>
      </c>
      <c r="H22" s="8">
        <f t="shared" si="6"/>
        <v>0</v>
      </c>
      <c r="I22" s="8">
        <f t="shared" si="6"/>
        <v>1</v>
      </c>
      <c r="J22" s="8">
        <f t="shared" si="7"/>
        <v>0</v>
      </c>
      <c r="K22" s="15">
        <v>1.5046296175569296E-4</v>
      </c>
      <c r="M22" s="8">
        <f t="shared" si="4"/>
        <v>117</v>
      </c>
      <c r="N22" s="9" t="s">
        <v>15</v>
      </c>
      <c r="O22" s="9" t="s">
        <v>16</v>
      </c>
      <c r="P22" s="9">
        <v>1124</v>
      </c>
      <c r="Q22" s="9">
        <v>182</v>
      </c>
      <c r="R22" s="8" t="s">
        <v>17</v>
      </c>
      <c r="S22" s="11">
        <v>65</v>
      </c>
      <c r="T22" s="10">
        <v>0.27</v>
      </c>
      <c r="X22" s="20"/>
      <c r="Y22" s="20"/>
    </row>
    <row r="23" spans="1:25" x14ac:dyDescent="0.3">
      <c r="A23" s="7">
        <f t="shared" si="5"/>
        <v>18</v>
      </c>
      <c r="B23" s="8">
        <v>3934</v>
      </c>
      <c r="C23" s="9" t="str">
        <f t="shared" si="3"/>
        <v>1180x85185fe3A4e36079818Ba1d12705A9B6898996580xa60AdD2af71a4f50b3F94509E71a1e9DbDeA5dDa1821215unidade630027</v>
      </c>
      <c r="D23" s="13" t="s">
        <v>84</v>
      </c>
      <c r="E23" s="8" t="s">
        <v>485</v>
      </c>
      <c r="F23" s="8">
        <f t="shared" si="6"/>
        <v>0</v>
      </c>
      <c r="G23" s="8">
        <f t="shared" si="6"/>
        <v>0</v>
      </c>
      <c r="H23" s="8">
        <f t="shared" si="6"/>
        <v>0</v>
      </c>
      <c r="I23" s="8">
        <f t="shared" si="6"/>
        <v>1</v>
      </c>
      <c r="J23" s="8">
        <f t="shared" si="7"/>
        <v>0</v>
      </c>
      <c r="K23" s="15">
        <v>1.006944446999114E-3</v>
      </c>
      <c r="M23" s="8">
        <f t="shared" si="4"/>
        <v>118</v>
      </c>
      <c r="N23" s="9" t="s">
        <v>15</v>
      </c>
      <c r="O23" s="9" t="s">
        <v>16</v>
      </c>
      <c r="P23" s="9">
        <v>1821</v>
      </c>
      <c r="Q23" s="9">
        <v>215</v>
      </c>
      <c r="R23" s="8" t="s">
        <v>17</v>
      </c>
      <c r="S23" s="11">
        <v>63</v>
      </c>
      <c r="T23" s="10">
        <v>0.27</v>
      </c>
      <c r="X23" s="20"/>
      <c r="Y23" s="20"/>
    </row>
    <row r="24" spans="1:25" x14ac:dyDescent="0.3">
      <c r="A24" s="7">
        <f t="shared" si="5"/>
        <v>19</v>
      </c>
      <c r="B24" s="8">
        <v>2863</v>
      </c>
      <c r="C24" s="9" t="str">
        <f t="shared" si="3"/>
        <v>1190x85185fe3A4e36079818Ba1d12705A9B6898996580xa60AdD2af71a4f50b3F94509E71a1e9DbDeA5dDa1371174unidade2400027</v>
      </c>
      <c r="D24" s="13" t="s">
        <v>85</v>
      </c>
      <c r="E24" s="8" t="s">
        <v>486</v>
      </c>
      <c r="F24" s="8">
        <f t="shared" si="6"/>
        <v>0</v>
      </c>
      <c r="G24" s="8">
        <f t="shared" si="6"/>
        <v>0</v>
      </c>
      <c r="H24" s="8">
        <f t="shared" si="6"/>
        <v>0</v>
      </c>
      <c r="I24" s="8">
        <f t="shared" si="6"/>
        <v>5</v>
      </c>
      <c r="J24" s="8">
        <f t="shared" si="7"/>
        <v>0</v>
      </c>
      <c r="K24" s="15">
        <v>7.2916666249511763E-4</v>
      </c>
      <c r="M24" s="8">
        <f t="shared" si="4"/>
        <v>119</v>
      </c>
      <c r="N24" s="9" t="s">
        <v>15</v>
      </c>
      <c r="O24" s="9" t="s">
        <v>16</v>
      </c>
      <c r="P24" s="9">
        <v>1371</v>
      </c>
      <c r="Q24" s="9">
        <v>174</v>
      </c>
      <c r="R24" s="8" t="s">
        <v>17</v>
      </c>
      <c r="S24" s="11">
        <v>240</v>
      </c>
      <c r="T24" s="10">
        <v>0.27</v>
      </c>
      <c r="X24" s="20"/>
      <c r="Y24" s="20"/>
    </row>
    <row r="25" spans="1:25" x14ac:dyDescent="0.3">
      <c r="A25" s="7">
        <f t="shared" si="5"/>
        <v>20</v>
      </c>
      <c r="B25" s="8">
        <v>825</v>
      </c>
      <c r="C25" s="9" t="str">
        <f t="shared" si="3"/>
        <v>1200x85185fe3A4e36079818Ba1d12705A9B6898996580xa60AdD2af71a4f50b3F94509E71a1e9DbDeA5dDa1844486unidade540027</v>
      </c>
      <c r="D25" s="13" t="s">
        <v>86</v>
      </c>
      <c r="E25" s="8" t="s">
        <v>487</v>
      </c>
      <c r="F25" s="8">
        <f t="shared" si="6"/>
        <v>0</v>
      </c>
      <c r="G25" s="8">
        <f t="shared" si="6"/>
        <v>0</v>
      </c>
      <c r="H25" s="8">
        <f t="shared" si="6"/>
        <v>0</v>
      </c>
      <c r="I25" s="8">
        <f t="shared" si="6"/>
        <v>3</v>
      </c>
      <c r="J25" s="8">
        <f t="shared" si="7"/>
        <v>0</v>
      </c>
      <c r="K25" s="15">
        <v>2.1990740788169205E-4</v>
      </c>
      <c r="M25" s="8">
        <f t="shared" si="4"/>
        <v>120</v>
      </c>
      <c r="N25" s="9" t="s">
        <v>15</v>
      </c>
      <c r="O25" s="9" t="s">
        <v>16</v>
      </c>
      <c r="P25" s="9">
        <v>1844</v>
      </c>
      <c r="Q25" s="9">
        <v>486</v>
      </c>
      <c r="R25" s="8" t="s">
        <v>17</v>
      </c>
      <c r="S25" s="11">
        <v>54</v>
      </c>
      <c r="T25" s="10">
        <v>0.27</v>
      </c>
      <c r="X25" s="20"/>
      <c r="Y25" s="20"/>
    </row>
    <row r="26" spans="1:25" x14ac:dyDescent="0.3">
      <c r="A26" s="7">
        <f t="shared" si="5"/>
        <v>21</v>
      </c>
      <c r="B26" s="8">
        <v>2682</v>
      </c>
      <c r="C26" s="9" t="str">
        <f t="shared" si="3"/>
        <v>1210x85185fe3A4e36079818Ba1d12705A9B6898996580xa60AdD2af71a4f50b3F94509E71a1e9DbDeA5dDa1369258unidade520027</v>
      </c>
      <c r="D26" s="13" t="s">
        <v>87</v>
      </c>
      <c r="E26" s="8" t="s">
        <v>488</v>
      </c>
      <c r="F26" s="8">
        <f t="shared" si="6"/>
        <v>0</v>
      </c>
      <c r="G26" s="8">
        <f t="shared" si="6"/>
        <v>0</v>
      </c>
      <c r="H26" s="8">
        <f t="shared" si="6"/>
        <v>0</v>
      </c>
      <c r="I26" s="8">
        <f t="shared" si="6"/>
        <v>1</v>
      </c>
      <c r="J26" s="8">
        <f t="shared" si="7"/>
        <v>0</v>
      </c>
      <c r="K26" s="15">
        <v>7.1759259299142286E-4</v>
      </c>
      <c r="M26" s="8">
        <f t="shared" si="4"/>
        <v>121</v>
      </c>
      <c r="N26" s="9" t="s">
        <v>15</v>
      </c>
      <c r="O26" s="9" t="s">
        <v>16</v>
      </c>
      <c r="P26" s="9">
        <v>1369</v>
      </c>
      <c r="Q26" s="9">
        <v>258</v>
      </c>
      <c r="R26" s="8" t="s">
        <v>17</v>
      </c>
      <c r="S26" s="11">
        <v>52</v>
      </c>
      <c r="T26" s="10">
        <v>0.27</v>
      </c>
      <c r="X26" s="20"/>
      <c r="Y26" s="20"/>
    </row>
    <row r="27" spans="1:25" x14ac:dyDescent="0.3">
      <c r="A27" s="7">
        <f t="shared" si="5"/>
        <v>22</v>
      </c>
      <c r="B27" s="8">
        <v>1414</v>
      </c>
      <c r="C27" s="9" t="str">
        <f t="shared" si="3"/>
        <v>1220x85185fe3A4e36079818Ba1d12705A9B6898996580xa60AdD2af71a4f50b3F94509E71a1e9DbDeA5dDa1536170unidade1950027</v>
      </c>
      <c r="D27" s="13" t="s">
        <v>88</v>
      </c>
      <c r="E27" s="8" t="s">
        <v>489</v>
      </c>
      <c r="F27" s="8">
        <f t="shared" si="6"/>
        <v>0</v>
      </c>
      <c r="G27" s="8">
        <f t="shared" si="6"/>
        <v>0</v>
      </c>
      <c r="H27" s="8">
        <f t="shared" si="6"/>
        <v>0</v>
      </c>
      <c r="I27" s="8">
        <f t="shared" si="6"/>
        <v>5</v>
      </c>
      <c r="J27" s="8">
        <f t="shared" si="7"/>
        <v>0</v>
      </c>
      <c r="K27" s="15">
        <v>3.5879629285773262E-4</v>
      </c>
      <c r="M27" s="8">
        <f t="shared" si="4"/>
        <v>122</v>
      </c>
      <c r="N27" s="9" t="s">
        <v>15</v>
      </c>
      <c r="O27" s="9" t="s">
        <v>16</v>
      </c>
      <c r="P27" s="9">
        <v>1536</v>
      </c>
      <c r="Q27" s="9">
        <v>170</v>
      </c>
      <c r="R27" s="8" t="s">
        <v>17</v>
      </c>
      <c r="S27" s="11">
        <v>195</v>
      </c>
      <c r="T27" s="10">
        <v>0.27</v>
      </c>
      <c r="X27" s="20"/>
      <c r="Y27" s="20"/>
    </row>
    <row r="28" spans="1:25" x14ac:dyDescent="0.3">
      <c r="A28" s="7">
        <f t="shared" si="5"/>
        <v>23</v>
      </c>
      <c r="B28" s="8">
        <v>2823</v>
      </c>
      <c r="C28" s="9" t="str">
        <f t="shared" si="3"/>
        <v>1230x85185fe3A4e36079818Ba1d12705A9B6898996580xa60AdD2af71a4f50b3F94509E71a1e9DbDeA5dDa1798140unidade1080027</v>
      </c>
      <c r="D28" s="13" t="s">
        <v>89</v>
      </c>
      <c r="E28" s="8" t="s">
        <v>490</v>
      </c>
      <c r="F28" s="8">
        <f t="shared" si="6"/>
        <v>0</v>
      </c>
      <c r="G28" s="8">
        <f t="shared" si="6"/>
        <v>0</v>
      </c>
      <c r="H28" s="8">
        <f t="shared" si="6"/>
        <v>0</v>
      </c>
      <c r="I28" s="8">
        <f t="shared" si="6"/>
        <v>1</v>
      </c>
      <c r="J28" s="8">
        <f t="shared" si="7"/>
        <v>0</v>
      </c>
      <c r="K28" s="15">
        <v>7.2916666977107525E-4</v>
      </c>
      <c r="M28" s="8">
        <f t="shared" si="4"/>
        <v>123</v>
      </c>
      <c r="N28" s="9" t="s">
        <v>15</v>
      </c>
      <c r="O28" s="9" t="s">
        <v>16</v>
      </c>
      <c r="P28" s="9">
        <v>1798</v>
      </c>
      <c r="Q28" s="9">
        <v>140</v>
      </c>
      <c r="R28" s="8" t="s">
        <v>17</v>
      </c>
      <c r="S28" s="11">
        <v>108</v>
      </c>
      <c r="T28" s="10">
        <v>0.27</v>
      </c>
      <c r="X28" s="20"/>
      <c r="Y28" s="20"/>
    </row>
    <row r="29" spans="1:25" x14ac:dyDescent="0.3">
      <c r="A29" s="7">
        <f t="shared" si="5"/>
        <v>24</v>
      </c>
      <c r="B29" s="8">
        <v>3650</v>
      </c>
      <c r="C29" s="9" t="str">
        <f t="shared" si="3"/>
        <v>1240x85185fe3A4e36079818Ba1d12705A9B6898996580xa60AdD2af71a4f50b3F94509E71a1e9DbDeA5dDa1379125unidade1690027</v>
      </c>
      <c r="D29" s="13" t="s">
        <v>90</v>
      </c>
      <c r="E29" s="8" t="s">
        <v>491</v>
      </c>
      <c r="F29" s="8">
        <f t="shared" si="6"/>
        <v>0</v>
      </c>
      <c r="G29" s="8">
        <f t="shared" si="6"/>
        <v>0</v>
      </c>
      <c r="H29" s="8">
        <f t="shared" si="6"/>
        <v>0</v>
      </c>
      <c r="I29" s="8">
        <f t="shared" si="6"/>
        <v>1</v>
      </c>
      <c r="J29" s="8">
        <f t="shared" si="7"/>
        <v>0</v>
      </c>
      <c r="K29" s="15">
        <v>9.6064814715646207E-4</v>
      </c>
      <c r="M29" s="8">
        <f t="shared" si="4"/>
        <v>124</v>
      </c>
      <c r="N29" s="9" t="s">
        <v>15</v>
      </c>
      <c r="O29" s="9" t="s">
        <v>16</v>
      </c>
      <c r="P29" s="9">
        <v>1379</v>
      </c>
      <c r="Q29" s="9">
        <v>125</v>
      </c>
      <c r="R29" s="8" t="s">
        <v>17</v>
      </c>
      <c r="S29" s="11">
        <v>169</v>
      </c>
      <c r="T29" s="10">
        <v>0.27</v>
      </c>
      <c r="X29" s="20"/>
      <c r="Y29" s="20"/>
    </row>
    <row r="30" spans="1:25" x14ac:dyDescent="0.3">
      <c r="A30" s="7">
        <f t="shared" si="5"/>
        <v>25</v>
      </c>
      <c r="B30" s="8">
        <v>8271</v>
      </c>
      <c r="C30" s="9" t="str">
        <f t="shared" si="3"/>
        <v>1250x85185fe3A4e36079818Ba1d12705A9B6898996580xa60AdD2af71a4f50b3F94509E71a1e9DbDeA5dDa1652298unidade1070027</v>
      </c>
      <c r="D30" s="13" t="s">
        <v>91</v>
      </c>
      <c r="E30" s="8" t="s">
        <v>492</v>
      </c>
      <c r="F30" s="8">
        <f t="shared" si="6"/>
        <v>0</v>
      </c>
      <c r="G30" s="8">
        <f t="shared" si="6"/>
        <v>0</v>
      </c>
      <c r="H30" s="8">
        <f t="shared" si="6"/>
        <v>0</v>
      </c>
      <c r="I30" s="8">
        <f t="shared" si="6"/>
        <v>2</v>
      </c>
      <c r="J30" s="8">
        <f t="shared" si="7"/>
        <v>0</v>
      </c>
      <c r="K30" s="15">
        <v>2.118055555911269E-3</v>
      </c>
      <c r="M30" s="8">
        <f t="shared" si="4"/>
        <v>125</v>
      </c>
      <c r="N30" s="9" t="s">
        <v>15</v>
      </c>
      <c r="O30" s="9" t="s">
        <v>16</v>
      </c>
      <c r="P30" s="9">
        <v>1652</v>
      </c>
      <c r="Q30" s="9">
        <v>298</v>
      </c>
      <c r="R30" s="8" t="s">
        <v>17</v>
      </c>
      <c r="S30" s="11">
        <v>107</v>
      </c>
      <c r="T30" s="10">
        <v>0.27</v>
      </c>
      <c r="X30" s="20"/>
      <c r="Y30" s="20"/>
    </row>
    <row r="31" spans="1:25" x14ac:dyDescent="0.3">
      <c r="A31" s="7">
        <f t="shared" si="5"/>
        <v>26</v>
      </c>
      <c r="B31" s="8">
        <v>5334</v>
      </c>
      <c r="C31" s="9" t="str">
        <f t="shared" si="3"/>
        <v>1260x85185fe3A4e36079818Ba1d12705A9B6898996580xa60AdD2af71a4f50b3F94509E71a1e9DbDeA5dDa1142141unidade1050027</v>
      </c>
      <c r="D31" s="13" t="s">
        <v>92</v>
      </c>
      <c r="E31" s="8" t="s">
        <v>493</v>
      </c>
      <c r="F31" s="8">
        <f t="shared" si="6"/>
        <v>0</v>
      </c>
      <c r="G31" s="8">
        <f t="shared" si="6"/>
        <v>0</v>
      </c>
      <c r="H31" s="8">
        <f t="shared" si="6"/>
        <v>0</v>
      </c>
      <c r="I31" s="8">
        <f t="shared" si="6"/>
        <v>6</v>
      </c>
      <c r="J31" s="8">
        <f t="shared" si="7"/>
        <v>0</v>
      </c>
      <c r="K31" s="15">
        <v>1.3657407398568466E-3</v>
      </c>
      <c r="M31" s="8">
        <f t="shared" si="4"/>
        <v>126</v>
      </c>
      <c r="N31" s="9" t="s">
        <v>15</v>
      </c>
      <c r="O31" s="9" t="s">
        <v>16</v>
      </c>
      <c r="P31" s="9">
        <v>1142</v>
      </c>
      <c r="Q31" s="9">
        <v>141</v>
      </c>
      <c r="R31" s="8" t="s">
        <v>17</v>
      </c>
      <c r="S31" s="11">
        <v>105</v>
      </c>
      <c r="T31" s="10">
        <v>0.27</v>
      </c>
      <c r="X31" s="20"/>
      <c r="Y31" s="20"/>
    </row>
    <row r="32" spans="1:25" x14ac:dyDescent="0.3">
      <c r="A32" s="7">
        <f t="shared" si="5"/>
        <v>27</v>
      </c>
      <c r="B32" s="8">
        <v>1412</v>
      </c>
      <c r="C32" s="9" t="str">
        <f t="shared" si="3"/>
        <v>1270x85185fe3A4e36079818Ba1d12705A9B6898996580xa60AdD2af71a4f50b3F94509E71a1e9DbDeA5dDa1550382unidade1650027</v>
      </c>
      <c r="D32" s="13" t="s">
        <v>93</v>
      </c>
      <c r="E32" s="8" t="s">
        <v>494</v>
      </c>
      <c r="F32" s="8">
        <f t="shared" si="6"/>
        <v>0</v>
      </c>
      <c r="G32" s="8">
        <f t="shared" si="6"/>
        <v>0</v>
      </c>
      <c r="H32" s="8">
        <f t="shared" si="6"/>
        <v>0</v>
      </c>
      <c r="I32" s="8">
        <f t="shared" si="6"/>
        <v>0</v>
      </c>
      <c r="J32" s="8">
        <f t="shared" si="7"/>
        <v>0</v>
      </c>
      <c r="K32" s="15">
        <v>3.5879630013369024E-4</v>
      </c>
      <c r="M32" s="8">
        <f t="shared" si="4"/>
        <v>127</v>
      </c>
      <c r="N32" s="9" t="s">
        <v>15</v>
      </c>
      <c r="O32" s="9" t="s">
        <v>16</v>
      </c>
      <c r="P32" s="9">
        <v>1550</v>
      </c>
      <c r="Q32" s="9">
        <v>382</v>
      </c>
      <c r="R32" s="8" t="s">
        <v>17</v>
      </c>
      <c r="S32" s="11">
        <v>165</v>
      </c>
      <c r="T32" s="10">
        <v>0.27</v>
      </c>
      <c r="X32" s="20"/>
      <c r="Y32" s="20"/>
    </row>
    <row r="33" spans="1:25" x14ac:dyDescent="0.3">
      <c r="A33" s="7">
        <f t="shared" si="5"/>
        <v>28</v>
      </c>
      <c r="B33" s="8">
        <v>2261</v>
      </c>
      <c r="C33" s="9" t="str">
        <f t="shared" si="3"/>
        <v>1280x85185fe3A4e36079818Ba1d12705A9B6898996580xa60AdD2af71a4f50b3F94509E71a1e9DbDeA5dDa1967266unidade2210027</v>
      </c>
      <c r="D33" s="13" t="s">
        <v>94</v>
      </c>
      <c r="E33" s="8" t="s">
        <v>495</v>
      </c>
      <c r="F33" s="8">
        <f t="shared" si="6"/>
        <v>0</v>
      </c>
      <c r="G33" s="8">
        <f t="shared" si="6"/>
        <v>0</v>
      </c>
      <c r="H33" s="8">
        <f t="shared" si="6"/>
        <v>0</v>
      </c>
      <c r="I33" s="8">
        <f t="shared" si="6"/>
        <v>1</v>
      </c>
      <c r="J33" s="8">
        <f t="shared" si="7"/>
        <v>0</v>
      </c>
      <c r="K33" s="15">
        <v>5.7870370801538229E-4</v>
      </c>
      <c r="M33" s="8">
        <f t="shared" si="4"/>
        <v>128</v>
      </c>
      <c r="N33" s="9" t="s">
        <v>15</v>
      </c>
      <c r="O33" s="9" t="s">
        <v>16</v>
      </c>
      <c r="P33" s="9">
        <v>1967</v>
      </c>
      <c r="Q33" s="9">
        <v>266</v>
      </c>
      <c r="R33" s="8" t="s">
        <v>17</v>
      </c>
      <c r="S33" s="11">
        <v>221</v>
      </c>
      <c r="T33" s="10">
        <v>0.27</v>
      </c>
      <c r="X33" s="20"/>
      <c r="Y33" s="20"/>
    </row>
    <row r="34" spans="1:25" x14ac:dyDescent="0.3">
      <c r="A34" s="7">
        <f t="shared" si="5"/>
        <v>29</v>
      </c>
      <c r="B34" s="8">
        <v>1192</v>
      </c>
      <c r="C34" s="9" t="str">
        <f t="shared" si="3"/>
        <v>1290x85185fe3A4e36079818Ba1d12705A9B6898996580xa60AdD2af71a4f50b3F94509E71a1e9DbDeA5dDa1694197unidade590027</v>
      </c>
      <c r="D34" s="13" t="s">
        <v>95</v>
      </c>
      <c r="E34" s="8" t="s">
        <v>496</v>
      </c>
      <c r="F34" s="8">
        <f t="shared" si="6"/>
        <v>0</v>
      </c>
      <c r="G34" s="8">
        <f t="shared" si="6"/>
        <v>0</v>
      </c>
      <c r="H34" s="8">
        <f t="shared" si="6"/>
        <v>0</v>
      </c>
      <c r="I34" s="8">
        <f t="shared" si="6"/>
        <v>1</v>
      </c>
      <c r="J34" s="8">
        <f t="shared" si="7"/>
        <v>0</v>
      </c>
      <c r="K34" s="15">
        <v>3.125000002910383E-4</v>
      </c>
      <c r="M34" s="8">
        <f t="shared" si="4"/>
        <v>129</v>
      </c>
      <c r="N34" s="9" t="s">
        <v>15</v>
      </c>
      <c r="O34" s="9" t="s">
        <v>16</v>
      </c>
      <c r="P34" s="9">
        <v>1694</v>
      </c>
      <c r="Q34" s="9">
        <v>197</v>
      </c>
      <c r="R34" s="8" t="s">
        <v>17</v>
      </c>
      <c r="S34" s="11">
        <v>59</v>
      </c>
      <c r="T34" s="10">
        <v>0.27</v>
      </c>
      <c r="X34" s="20"/>
      <c r="Y34" s="20"/>
    </row>
    <row r="35" spans="1:25" x14ac:dyDescent="0.3">
      <c r="A35" s="7">
        <f t="shared" si="5"/>
        <v>30</v>
      </c>
      <c r="B35" s="8">
        <v>280</v>
      </c>
      <c r="C35" s="9" t="str">
        <f t="shared" si="3"/>
        <v>1300x85185fe3A4e36079818Ba1d12705A9B6898996580xa60AdD2af71a4f50b3F94509E71a1e9DbDeA5dDa1780163unidade1150027</v>
      </c>
      <c r="D35" s="13" t="s">
        <v>96</v>
      </c>
      <c r="E35" s="8" t="s">
        <v>497</v>
      </c>
      <c r="F35" s="8">
        <f t="shared" si="6"/>
        <v>0</v>
      </c>
      <c r="G35" s="8">
        <f t="shared" si="6"/>
        <v>0</v>
      </c>
      <c r="H35" s="8">
        <f t="shared" si="6"/>
        <v>0</v>
      </c>
      <c r="I35" s="8">
        <f t="shared" si="6"/>
        <v>1</v>
      </c>
      <c r="J35" s="8">
        <f t="shared" si="7"/>
        <v>0</v>
      </c>
      <c r="K35" s="15">
        <v>6.9444438850041479E-5</v>
      </c>
      <c r="M35" s="8">
        <f t="shared" si="4"/>
        <v>130</v>
      </c>
      <c r="N35" s="9" t="s">
        <v>15</v>
      </c>
      <c r="O35" s="9" t="s">
        <v>16</v>
      </c>
      <c r="P35" s="9">
        <v>1780</v>
      </c>
      <c r="Q35" s="9">
        <v>163</v>
      </c>
      <c r="R35" s="8" t="s">
        <v>17</v>
      </c>
      <c r="S35" s="11">
        <v>115</v>
      </c>
      <c r="T35" s="10">
        <v>0.27</v>
      </c>
      <c r="X35" s="20"/>
      <c r="Y35" s="20"/>
    </row>
    <row r="36" spans="1:25" x14ac:dyDescent="0.3">
      <c r="A36" s="7">
        <f t="shared" si="5"/>
        <v>31</v>
      </c>
      <c r="B36" s="8">
        <v>398</v>
      </c>
      <c r="C36" s="9" t="str">
        <f t="shared" si="3"/>
        <v>1310x85185fe3A4e36079818Ba1d12705A9B6898996580xa60AdD2af71a4f50b3F94509E71a1e9DbDeA5dDa1554321unidade500027</v>
      </c>
      <c r="D36" s="13" t="s">
        <v>97</v>
      </c>
      <c r="E36" s="8" t="s">
        <v>498</v>
      </c>
      <c r="F36" s="8">
        <f t="shared" si="6"/>
        <v>0</v>
      </c>
      <c r="G36" s="8">
        <f t="shared" si="6"/>
        <v>0</v>
      </c>
      <c r="H36" s="8">
        <f t="shared" si="6"/>
        <v>0</v>
      </c>
      <c r="I36" s="8">
        <f t="shared" si="6"/>
        <v>9</v>
      </c>
      <c r="J36" s="8">
        <f t="shared" si="7"/>
        <v>0</v>
      </c>
      <c r="K36" s="15">
        <v>1.0416666918899864E-4</v>
      </c>
      <c r="M36" s="8">
        <f t="shared" si="4"/>
        <v>131</v>
      </c>
      <c r="N36" s="9" t="s">
        <v>15</v>
      </c>
      <c r="O36" s="9" t="s">
        <v>16</v>
      </c>
      <c r="P36" s="9">
        <v>1554</v>
      </c>
      <c r="Q36" s="9">
        <v>321</v>
      </c>
      <c r="R36" s="8" t="s">
        <v>17</v>
      </c>
      <c r="S36" s="11">
        <v>50</v>
      </c>
      <c r="T36" s="10">
        <v>0.27</v>
      </c>
      <c r="X36" s="20"/>
      <c r="Y36" s="20"/>
    </row>
    <row r="37" spans="1:25" x14ac:dyDescent="0.3">
      <c r="A37" s="7">
        <f t="shared" si="5"/>
        <v>32</v>
      </c>
      <c r="B37" s="8">
        <v>415</v>
      </c>
      <c r="C37" s="9" t="str">
        <f t="shared" si="3"/>
        <v>1320x85185fe3A4e36079818Ba1d12705A9B6898996580xa60AdD2af71a4f50b3F94509E71a1e9DbDeA5dDa1057475unidade1380027</v>
      </c>
      <c r="D37" s="13" t="s">
        <v>98</v>
      </c>
      <c r="E37" s="8" t="s">
        <v>499</v>
      </c>
      <c r="F37" s="8">
        <f t="shared" si="6"/>
        <v>0</v>
      </c>
      <c r="G37" s="8">
        <f t="shared" si="6"/>
        <v>0</v>
      </c>
      <c r="H37" s="8">
        <f t="shared" si="6"/>
        <v>0</v>
      </c>
      <c r="I37" s="8">
        <f t="shared" si="6"/>
        <v>7</v>
      </c>
      <c r="J37" s="8">
        <f t="shared" si="7"/>
        <v>0</v>
      </c>
      <c r="K37" s="15">
        <v>1.0416666918899864E-4</v>
      </c>
      <c r="M37" s="8">
        <f t="shared" si="4"/>
        <v>132</v>
      </c>
      <c r="N37" s="9" t="s">
        <v>15</v>
      </c>
      <c r="O37" s="9" t="s">
        <v>16</v>
      </c>
      <c r="P37" s="9">
        <v>1057</v>
      </c>
      <c r="Q37" s="9">
        <v>475</v>
      </c>
      <c r="R37" s="8" t="s">
        <v>17</v>
      </c>
      <c r="S37" s="11">
        <v>138</v>
      </c>
      <c r="T37" s="10">
        <v>0.27</v>
      </c>
      <c r="X37" s="20"/>
      <c r="Y37" s="20"/>
    </row>
    <row r="38" spans="1:25" x14ac:dyDescent="0.3">
      <c r="A38" s="7">
        <f t="shared" si="5"/>
        <v>33</v>
      </c>
      <c r="B38" s="8">
        <v>2874</v>
      </c>
      <c r="C38" s="9" t="str">
        <f t="shared" si="3"/>
        <v>1330x85185fe3A4e36079818Ba1d12705A9B6898996580xa60AdD2af71a4f50b3F94509E71a1e9DbDeA5dDa1553306unidade540027</v>
      </c>
      <c r="D38" s="13" t="s">
        <v>99</v>
      </c>
      <c r="E38" s="8" t="s">
        <v>500</v>
      </c>
      <c r="F38" s="8">
        <f t="shared" si="6"/>
        <v>0</v>
      </c>
      <c r="G38" s="8">
        <f t="shared" si="6"/>
        <v>0</v>
      </c>
      <c r="H38" s="8">
        <f t="shared" si="6"/>
        <v>0</v>
      </c>
      <c r="I38" s="8">
        <f t="shared" si="6"/>
        <v>7</v>
      </c>
      <c r="J38" s="8">
        <f t="shared" si="7"/>
        <v>0</v>
      </c>
      <c r="K38" s="15">
        <v>7.4074073927477002E-4</v>
      </c>
      <c r="M38" s="8">
        <f t="shared" ref="M38:M69" si="8">1+M37</f>
        <v>133</v>
      </c>
      <c r="N38" s="9" t="s">
        <v>15</v>
      </c>
      <c r="O38" s="9" t="s">
        <v>16</v>
      </c>
      <c r="P38" s="9">
        <v>1553</v>
      </c>
      <c r="Q38" s="9">
        <v>306</v>
      </c>
      <c r="R38" s="8" t="s">
        <v>17</v>
      </c>
      <c r="S38" s="11">
        <v>54</v>
      </c>
      <c r="T38" s="10">
        <v>0.27</v>
      </c>
      <c r="X38" s="20"/>
      <c r="Y38" s="20"/>
    </row>
    <row r="39" spans="1:25" x14ac:dyDescent="0.3">
      <c r="A39" s="7">
        <f t="shared" si="5"/>
        <v>34</v>
      </c>
      <c r="B39" s="8">
        <v>4751</v>
      </c>
      <c r="C39" s="9" t="str">
        <f t="shared" si="3"/>
        <v>1340x85185fe3A4e36079818Ba1d12705A9B6898996580xa60AdD2af71a4f50b3F94509E71a1e9DbDeA5dDa1744417unidade1160027</v>
      </c>
      <c r="D39" s="13" t="s">
        <v>100</v>
      </c>
      <c r="E39" s="8" t="s">
        <v>501</v>
      </c>
      <c r="F39" s="8">
        <f t="shared" ref="F39:I70" si="9">IFERROR(VALUE(MID($E39,F$1,1)),1)</f>
        <v>0</v>
      </c>
      <c r="G39" s="8">
        <f t="shared" si="9"/>
        <v>0</v>
      </c>
      <c r="H39" s="8">
        <f t="shared" si="9"/>
        <v>0</v>
      </c>
      <c r="I39" s="8">
        <f t="shared" si="9"/>
        <v>3</v>
      </c>
      <c r="J39" s="8">
        <f t="shared" si="7"/>
        <v>0</v>
      </c>
      <c r="K39" s="15">
        <v>1.2152777781011537E-3</v>
      </c>
      <c r="M39" s="8">
        <f t="shared" si="8"/>
        <v>134</v>
      </c>
      <c r="N39" s="9" t="s">
        <v>15</v>
      </c>
      <c r="O39" s="9" t="s">
        <v>16</v>
      </c>
      <c r="P39" s="9">
        <v>1744</v>
      </c>
      <c r="Q39" s="9">
        <v>417</v>
      </c>
      <c r="R39" s="8" t="s">
        <v>17</v>
      </c>
      <c r="S39" s="11">
        <v>116</v>
      </c>
      <c r="T39" s="10">
        <v>0.27</v>
      </c>
      <c r="X39" s="20"/>
      <c r="Y39" s="20"/>
    </row>
    <row r="40" spans="1:25" x14ac:dyDescent="0.3">
      <c r="A40" s="7">
        <f t="shared" si="5"/>
        <v>35</v>
      </c>
      <c r="B40" s="8">
        <v>2138</v>
      </c>
      <c r="C40" s="9" t="str">
        <f t="shared" si="3"/>
        <v>1350x85185fe3A4e36079818Ba1d12705A9B6898996580xa60AdD2af71a4f50b3F94509E71a1e9DbDeA5dDa1207150unidade1560027</v>
      </c>
      <c r="D40" s="13" t="s">
        <v>101</v>
      </c>
      <c r="E40" s="8" t="s">
        <v>502</v>
      </c>
      <c r="F40" s="8">
        <f t="shared" si="9"/>
        <v>0</v>
      </c>
      <c r="G40" s="8">
        <f t="shared" si="9"/>
        <v>0</v>
      </c>
      <c r="H40" s="8">
        <f t="shared" si="9"/>
        <v>0</v>
      </c>
      <c r="I40" s="8">
        <f t="shared" si="9"/>
        <v>1</v>
      </c>
      <c r="J40" s="8">
        <f t="shared" si="7"/>
        <v>0</v>
      </c>
      <c r="K40" s="15">
        <v>5.5555555445607752E-4</v>
      </c>
      <c r="M40" s="8">
        <f t="shared" si="8"/>
        <v>135</v>
      </c>
      <c r="N40" s="9" t="s">
        <v>15</v>
      </c>
      <c r="O40" s="9" t="s">
        <v>16</v>
      </c>
      <c r="P40" s="9">
        <v>1207</v>
      </c>
      <c r="Q40" s="9">
        <v>150</v>
      </c>
      <c r="R40" s="8" t="s">
        <v>17</v>
      </c>
      <c r="S40" s="11">
        <v>156</v>
      </c>
      <c r="T40" s="10">
        <v>0.27</v>
      </c>
      <c r="X40" s="20"/>
      <c r="Y40" s="20"/>
    </row>
    <row r="41" spans="1:25" x14ac:dyDescent="0.3">
      <c r="A41" s="7">
        <f t="shared" si="5"/>
        <v>36</v>
      </c>
      <c r="B41" s="8">
        <v>6968</v>
      </c>
      <c r="C41" s="9" t="str">
        <f t="shared" si="3"/>
        <v>1360x85185fe3A4e36079818Ba1d12705A9B6898996580xa60AdD2af71a4f50b3F94509E71a1e9DbDeA5dDa1338490unidade820027</v>
      </c>
      <c r="D41" s="13" t="s">
        <v>102</v>
      </c>
      <c r="E41" s="8" t="s">
        <v>503</v>
      </c>
      <c r="F41" s="8">
        <f t="shared" si="9"/>
        <v>0</v>
      </c>
      <c r="G41" s="8">
        <f t="shared" si="9"/>
        <v>0</v>
      </c>
      <c r="H41" s="8">
        <f t="shared" si="9"/>
        <v>0</v>
      </c>
      <c r="I41" s="8">
        <f t="shared" si="9"/>
        <v>1</v>
      </c>
      <c r="J41" s="8">
        <f t="shared" si="7"/>
        <v>0</v>
      </c>
      <c r="K41" s="15">
        <v>1.7824074093368836E-3</v>
      </c>
      <c r="M41" s="8">
        <f t="shared" si="8"/>
        <v>136</v>
      </c>
      <c r="N41" s="9" t="s">
        <v>15</v>
      </c>
      <c r="O41" s="9" t="s">
        <v>16</v>
      </c>
      <c r="P41" s="9">
        <v>1338</v>
      </c>
      <c r="Q41" s="9">
        <v>490</v>
      </c>
      <c r="R41" s="8" t="s">
        <v>17</v>
      </c>
      <c r="S41" s="11">
        <v>82</v>
      </c>
      <c r="T41" s="10">
        <v>0.27</v>
      </c>
      <c r="X41" s="20"/>
      <c r="Y41" s="20"/>
    </row>
    <row r="42" spans="1:25" x14ac:dyDescent="0.3">
      <c r="A42" s="7">
        <f t="shared" si="5"/>
        <v>37</v>
      </c>
      <c r="B42" s="8">
        <v>1355</v>
      </c>
      <c r="C42" s="9" t="str">
        <f t="shared" si="3"/>
        <v>1370x85185fe3A4e36079818Ba1d12705A9B6898996580xa60AdD2af71a4f50b3F94509E71a1e9DbDeA5dDa1188174unidade1140027</v>
      </c>
      <c r="D42" s="13" t="s">
        <v>103</v>
      </c>
      <c r="E42" s="8" t="s">
        <v>504</v>
      </c>
      <c r="F42" s="8">
        <f t="shared" si="9"/>
        <v>0</v>
      </c>
      <c r="G42" s="8">
        <f t="shared" si="9"/>
        <v>0</v>
      </c>
      <c r="H42" s="8">
        <f t="shared" si="9"/>
        <v>0</v>
      </c>
      <c r="I42" s="8">
        <f t="shared" si="9"/>
        <v>4</v>
      </c>
      <c r="J42" s="8">
        <f t="shared" si="7"/>
        <v>0</v>
      </c>
      <c r="K42" s="15">
        <v>3.4722222335403785E-4</v>
      </c>
      <c r="M42" s="8">
        <f t="shared" si="8"/>
        <v>137</v>
      </c>
      <c r="N42" s="9" t="s">
        <v>15</v>
      </c>
      <c r="O42" s="9" t="s">
        <v>16</v>
      </c>
      <c r="P42" s="9">
        <v>1188</v>
      </c>
      <c r="Q42" s="9">
        <v>174</v>
      </c>
      <c r="R42" s="8" t="s">
        <v>17</v>
      </c>
      <c r="S42" s="11">
        <v>114</v>
      </c>
      <c r="T42" s="10">
        <v>0.27</v>
      </c>
      <c r="X42" s="20"/>
      <c r="Y42" s="20"/>
    </row>
    <row r="43" spans="1:25" x14ac:dyDescent="0.3">
      <c r="A43" s="7">
        <f t="shared" si="5"/>
        <v>38</v>
      </c>
      <c r="B43" s="8">
        <v>2801</v>
      </c>
      <c r="C43" s="9" t="str">
        <f t="shared" si="3"/>
        <v>1380x85185fe3A4e36079818Ba1d12705A9B6898996580xa60AdD2af71a4f50b3F94509E71a1e9DbDeA5dDa1638461unidade1630027</v>
      </c>
      <c r="D43" s="13" t="s">
        <v>104</v>
      </c>
      <c r="E43" s="8" t="s">
        <v>505</v>
      </c>
      <c r="F43" s="8">
        <f t="shared" si="9"/>
        <v>0</v>
      </c>
      <c r="G43" s="8">
        <f t="shared" si="9"/>
        <v>0</v>
      </c>
      <c r="H43" s="8">
        <f t="shared" si="9"/>
        <v>0</v>
      </c>
      <c r="I43" s="8">
        <f t="shared" si="9"/>
        <v>1</v>
      </c>
      <c r="J43" s="8">
        <f t="shared" si="7"/>
        <v>0</v>
      </c>
      <c r="K43" s="15">
        <v>7.1759259299142286E-4</v>
      </c>
      <c r="M43" s="8">
        <f t="shared" si="8"/>
        <v>138</v>
      </c>
      <c r="N43" s="9" t="s">
        <v>15</v>
      </c>
      <c r="O43" s="9" t="s">
        <v>16</v>
      </c>
      <c r="P43" s="9">
        <v>1638</v>
      </c>
      <c r="Q43" s="9">
        <v>461</v>
      </c>
      <c r="R43" s="8" t="s">
        <v>17</v>
      </c>
      <c r="S43" s="11">
        <v>163</v>
      </c>
      <c r="T43" s="10">
        <v>0.27</v>
      </c>
      <c r="X43" s="20"/>
      <c r="Y43" s="20"/>
    </row>
    <row r="44" spans="1:25" x14ac:dyDescent="0.3">
      <c r="A44" s="7">
        <f t="shared" si="5"/>
        <v>39</v>
      </c>
      <c r="B44" s="8">
        <v>1044</v>
      </c>
      <c r="C44" s="9" t="str">
        <f t="shared" si="3"/>
        <v>1390x85185fe3A4e36079818Ba1d12705A9B6898996580xa60AdD2af71a4f50b3F94509E71a1e9DbDeA5dDa1058192unidade1320027</v>
      </c>
      <c r="D44" s="13" t="s">
        <v>105</v>
      </c>
      <c r="E44" s="8" t="s">
        <v>506</v>
      </c>
      <c r="F44" s="8">
        <f t="shared" si="9"/>
        <v>0</v>
      </c>
      <c r="G44" s="8">
        <f t="shared" si="9"/>
        <v>0</v>
      </c>
      <c r="H44" s="8">
        <f t="shared" si="9"/>
        <v>0</v>
      </c>
      <c r="I44" s="8">
        <f t="shared" si="9"/>
        <v>8</v>
      </c>
      <c r="J44" s="8">
        <f t="shared" si="7"/>
        <v>0</v>
      </c>
      <c r="K44" s="15">
        <v>2.6620370772434399E-4</v>
      </c>
      <c r="M44" s="8">
        <f t="shared" si="8"/>
        <v>139</v>
      </c>
      <c r="N44" s="9" t="s">
        <v>15</v>
      </c>
      <c r="O44" s="9" t="s">
        <v>16</v>
      </c>
      <c r="P44" s="9">
        <v>1058</v>
      </c>
      <c r="Q44" s="9">
        <v>192</v>
      </c>
      <c r="R44" s="8" t="s">
        <v>17</v>
      </c>
      <c r="S44" s="11">
        <v>132</v>
      </c>
      <c r="T44" s="10">
        <v>0.27</v>
      </c>
      <c r="X44" s="20"/>
      <c r="Y44" s="20"/>
    </row>
    <row r="45" spans="1:25" x14ac:dyDescent="0.3">
      <c r="A45" s="7">
        <f t="shared" si="5"/>
        <v>40</v>
      </c>
      <c r="B45" s="8">
        <v>1862</v>
      </c>
      <c r="C45" s="9" t="str">
        <f t="shared" si="3"/>
        <v>1400x85185fe3A4e36079818Ba1d12705A9B6898996580xa60AdD2af71a4f50b3F94509E71a1e9DbDeA5dDa1635101unidade2050027</v>
      </c>
      <c r="D45" s="13" t="s">
        <v>106</v>
      </c>
      <c r="E45" s="8" t="s">
        <v>507</v>
      </c>
      <c r="F45" s="8">
        <f t="shared" si="9"/>
        <v>0</v>
      </c>
      <c r="G45" s="8">
        <f t="shared" si="9"/>
        <v>0</v>
      </c>
      <c r="H45" s="8">
        <f t="shared" si="9"/>
        <v>0</v>
      </c>
      <c r="I45" s="8">
        <f t="shared" si="9"/>
        <v>1</v>
      </c>
      <c r="J45" s="8">
        <f t="shared" si="7"/>
        <v>0</v>
      </c>
      <c r="K45" s="15">
        <v>4.7453703155042604E-4</v>
      </c>
      <c r="M45" s="8">
        <f t="shared" si="8"/>
        <v>140</v>
      </c>
      <c r="N45" s="9" t="s">
        <v>15</v>
      </c>
      <c r="O45" s="9" t="s">
        <v>16</v>
      </c>
      <c r="P45" s="9">
        <v>1635</v>
      </c>
      <c r="Q45" s="9">
        <v>101</v>
      </c>
      <c r="R45" s="8" t="s">
        <v>17</v>
      </c>
      <c r="S45" s="11">
        <v>205</v>
      </c>
      <c r="T45" s="10">
        <v>0.27</v>
      </c>
      <c r="X45" s="20"/>
      <c r="Y45" s="20"/>
    </row>
    <row r="46" spans="1:25" x14ac:dyDescent="0.3">
      <c r="A46" s="7">
        <f t="shared" si="5"/>
        <v>41</v>
      </c>
      <c r="B46" s="8">
        <v>10534</v>
      </c>
      <c r="C46" s="9" t="str">
        <f t="shared" si="3"/>
        <v>1410x85185fe3A4e36079818Ba1d12705A9B6898996580xa60AdD2af71a4f50b3F94509E71a1e9DbDeA5dDa1695136unidade530027</v>
      </c>
      <c r="D46" s="13" t="s">
        <v>107</v>
      </c>
      <c r="E46" s="8" t="s">
        <v>508</v>
      </c>
      <c r="F46" s="8">
        <f t="shared" si="9"/>
        <v>0</v>
      </c>
      <c r="G46" s="8">
        <f t="shared" si="9"/>
        <v>0</v>
      </c>
      <c r="H46" s="8">
        <f t="shared" si="9"/>
        <v>0</v>
      </c>
      <c r="I46" s="8">
        <f t="shared" si="9"/>
        <v>1</v>
      </c>
      <c r="J46" s="8">
        <f t="shared" si="7"/>
        <v>0</v>
      </c>
      <c r="K46" s="15">
        <v>2.7199074102099985E-3</v>
      </c>
      <c r="M46" s="8">
        <f t="shared" si="8"/>
        <v>141</v>
      </c>
      <c r="N46" s="9" t="s">
        <v>15</v>
      </c>
      <c r="O46" s="9" t="s">
        <v>16</v>
      </c>
      <c r="P46" s="9">
        <v>1695</v>
      </c>
      <c r="Q46" s="9">
        <v>136</v>
      </c>
      <c r="R46" s="8" t="s">
        <v>17</v>
      </c>
      <c r="S46" s="11">
        <v>53</v>
      </c>
      <c r="T46" s="10">
        <v>0.27</v>
      </c>
      <c r="X46" s="20"/>
      <c r="Y46" s="20"/>
    </row>
    <row r="47" spans="1:25" x14ac:dyDescent="0.3">
      <c r="A47" s="7">
        <f t="shared" si="5"/>
        <v>42</v>
      </c>
      <c r="B47" s="8">
        <v>3383</v>
      </c>
      <c r="C47" s="9" t="str">
        <f t="shared" si="3"/>
        <v>1420x85185fe3A4e36079818Ba1d12705A9B6898996580xa60AdD2af71a4f50b3F94509E71a1e9DbDeA5dDa1033492unidade1760027</v>
      </c>
      <c r="D47" s="13" t="s">
        <v>108</v>
      </c>
      <c r="E47" s="8" t="s">
        <v>509</v>
      </c>
      <c r="F47" s="8">
        <f t="shared" si="9"/>
        <v>0</v>
      </c>
      <c r="G47" s="8">
        <f t="shared" si="9"/>
        <v>0</v>
      </c>
      <c r="H47" s="8">
        <f t="shared" si="9"/>
        <v>0</v>
      </c>
      <c r="I47" s="8">
        <f t="shared" si="9"/>
        <v>4</v>
      </c>
      <c r="J47" s="8">
        <f t="shared" si="7"/>
        <v>0</v>
      </c>
      <c r="K47" s="15">
        <v>8.7962963152676821E-4</v>
      </c>
      <c r="M47" s="8">
        <f t="shared" si="8"/>
        <v>142</v>
      </c>
      <c r="N47" s="9" t="s">
        <v>15</v>
      </c>
      <c r="O47" s="9" t="s">
        <v>16</v>
      </c>
      <c r="P47" s="9">
        <v>1033</v>
      </c>
      <c r="Q47" s="9">
        <v>492</v>
      </c>
      <c r="R47" s="8" t="s">
        <v>17</v>
      </c>
      <c r="S47" s="11">
        <v>176</v>
      </c>
      <c r="T47" s="10">
        <v>0.27</v>
      </c>
      <c r="X47" s="20"/>
      <c r="Y47" s="20"/>
    </row>
    <row r="48" spans="1:25" x14ac:dyDescent="0.3">
      <c r="A48" s="7">
        <f t="shared" si="5"/>
        <v>43</v>
      </c>
      <c r="B48" s="8">
        <v>960</v>
      </c>
      <c r="C48" s="9" t="str">
        <f t="shared" si="3"/>
        <v>1430x85185fe3A4e36079818Ba1d12705A9B6898996580xa60AdD2af71a4f50b3F94509E71a1e9DbDeA5dDa1697286unidade1120027</v>
      </c>
      <c r="D48" s="13" t="s">
        <v>109</v>
      </c>
      <c r="E48" s="8" t="s">
        <v>510</v>
      </c>
      <c r="F48" s="8">
        <f t="shared" si="9"/>
        <v>0</v>
      </c>
      <c r="G48" s="8">
        <f t="shared" si="9"/>
        <v>0</v>
      </c>
      <c r="H48" s="8">
        <f t="shared" si="9"/>
        <v>0</v>
      </c>
      <c r="I48" s="8">
        <f t="shared" si="9"/>
        <v>1</v>
      </c>
      <c r="J48" s="8">
        <f t="shared" si="7"/>
        <v>0</v>
      </c>
      <c r="K48" s="15">
        <v>2.546296309446916E-4</v>
      </c>
      <c r="M48" s="8">
        <f t="shared" si="8"/>
        <v>143</v>
      </c>
      <c r="N48" s="9" t="s">
        <v>15</v>
      </c>
      <c r="O48" s="9" t="s">
        <v>16</v>
      </c>
      <c r="P48" s="9">
        <v>1697</v>
      </c>
      <c r="Q48" s="9">
        <v>286</v>
      </c>
      <c r="R48" s="8" t="s">
        <v>17</v>
      </c>
      <c r="S48" s="11">
        <v>112</v>
      </c>
      <c r="T48" s="10">
        <v>0.27</v>
      </c>
      <c r="X48" s="20"/>
      <c r="Y48" s="20"/>
    </row>
    <row r="49" spans="1:25" x14ac:dyDescent="0.3">
      <c r="A49" s="7">
        <f t="shared" si="5"/>
        <v>44</v>
      </c>
      <c r="B49" s="8">
        <v>8463</v>
      </c>
      <c r="C49" s="9" t="str">
        <f t="shared" si="3"/>
        <v>1440x85185fe3A4e36079818Ba1d12705A9B6898996580xa60AdD2af71a4f50b3F94509E71a1e9DbDeA5dDa1805107unidade2220027</v>
      </c>
      <c r="D49" s="13" t="s">
        <v>110</v>
      </c>
      <c r="E49" s="8" t="s">
        <v>511</v>
      </c>
      <c r="F49" s="8">
        <f t="shared" si="9"/>
        <v>0</v>
      </c>
      <c r="G49" s="8">
        <f t="shared" si="9"/>
        <v>0</v>
      </c>
      <c r="H49" s="8">
        <f t="shared" si="9"/>
        <v>0</v>
      </c>
      <c r="I49" s="8">
        <f t="shared" si="9"/>
        <v>1</v>
      </c>
      <c r="J49" s="8">
        <f t="shared" si="7"/>
        <v>0</v>
      </c>
      <c r="K49" s="15">
        <v>2.1643518484779634E-3</v>
      </c>
      <c r="M49" s="8">
        <f t="shared" si="8"/>
        <v>144</v>
      </c>
      <c r="N49" s="9" t="s">
        <v>15</v>
      </c>
      <c r="O49" s="9" t="s">
        <v>16</v>
      </c>
      <c r="P49" s="9">
        <v>1805</v>
      </c>
      <c r="Q49" s="9">
        <v>107</v>
      </c>
      <c r="R49" s="8" t="s">
        <v>17</v>
      </c>
      <c r="S49" s="11">
        <v>222</v>
      </c>
      <c r="T49" s="10">
        <v>0.27</v>
      </c>
      <c r="X49" s="20"/>
      <c r="Y49" s="20"/>
    </row>
    <row r="50" spans="1:25" x14ac:dyDescent="0.3">
      <c r="A50" s="7">
        <f t="shared" si="5"/>
        <v>45</v>
      </c>
      <c r="B50" s="8">
        <v>14013</v>
      </c>
      <c r="C50" s="9" t="str">
        <f t="shared" si="3"/>
        <v>1450x85185fe3A4e36079818Ba1d12705A9B6898996580xa60AdD2af71a4f50b3F94509E71a1e9DbDeA5dDa1647187unidade520027</v>
      </c>
      <c r="D50" s="13" t="s">
        <v>111</v>
      </c>
      <c r="E50" s="8" t="s">
        <v>512</v>
      </c>
      <c r="F50" s="8">
        <f t="shared" si="9"/>
        <v>0</v>
      </c>
      <c r="G50" s="8">
        <f t="shared" si="9"/>
        <v>0</v>
      </c>
      <c r="H50" s="8">
        <f t="shared" si="9"/>
        <v>0</v>
      </c>
      <c r="I50" s="8">
        <f t="shared" si="9"/>
        <v>8</v>
      </c>
      <c r="J50" s="8">
        <f t="shared" si="7"/>
        <v>0</v>
      </c>
      <c r="K50" s="15">
        <v>3.6342592575238086E-3</v>
      </c>
      <c r="M50" s="8">
        <f t="shared" si="8"/>
        <v>145</v>
      </c>
      <c r="N50" s="9" t="s">
        <v>15</v>
      </c>
      <c r="O50" s="9" t="s">
        <v>16</v>
      </c>
      <c r="P50" s="9">
        <v>1647</v>
      </c>
      <c r="Q50" s="9">
        <v>187</v>
      </c>
      <c r="R50" s="8" t="s">
        <v>17</v>
      </c>
      <c r="S50" s="11">
        <v>52</v>
      </c>
      <c r="T50" s="10">
        <v>0.27</v>
      </c>
      <c r="X50" s="20"/>
      <c r="Y50" s="20"/>
    </row>
    <row r="51" spans="1:25" x14ac:dyDescent="0.3">
      <c r="A51" s="7">
        <f t="shared" si="5"/>
        <v>46</v>
      </c>
      <c r="B51" s="8">
        <v>1825</v>
      </c>
      <c r="C51" s="9" t="str">
        <f t="shared" si="3"/>
        <v>1460x85185fe3A4e36079818Ba1d12705A9B6898996580xa60AdD2af71a4f50b3F94509E71a1e9DbDeA5dDa1045180unidade700027</v>
      </c>
      <c r="D51" s="13" t="s">
        <v>112</v>
      </c>
      <c r="E51" s="8" t="s">
        <v>513</v>
      </c>
      <c r="F51" s="8">
        <f t="shared" si="9"/>
        <v>0</v>
      </c>
      <c r="G51" s="8">
        <f t="shared" si="9"/>
        <v>0</v>
      </c>
      <c r="H51" s="8">
        <f t="shared" si="9"/>
        <v>0</v>
      </c>
      <c r="I51" s="8">
        <f t="shared" si="9"/>
        <v>0</v>
      </c>
      <c r="J51" s="8">
        <f t="shared" si="7"/>
        <v>0</v>
      </c>
      <c r="K51" s="15">
        <v>4.6296296204673126E-4</v>
      </c>
      <c r="M51" s="8">
        <f t="shared" si="8"/>
        <v>146</v>
      </c>
      <c r="N51" s="9" t="s">
        <v>15</v>
      </c>
      <c r="O51" s="9" t="s">
        <v>16</v>
      </c>
      <c r="P51" s="9">
        <v>1045</v>
      </c>
      <c r="Q51" s="9">
        <v>180</v>
      </c>
      <c r="R51" s="8" t="s">
        <v>17</v>
      </c>
      <c r="S51" s="11">
        <v>70</v>
      </c>
      <c r="T51" s="10">
        <v>0.27</v>
      </c>
      <c r="X51" s="20"/>
      <c r="Y51" s="20"/>
    </row>
    <row r="52" spans="1:25" x14ac:dyDescent="0.3">
      <c r="A52" s="7">
        <f t="shared" si="5"/>
        <v>47</v>
      </c>
      <c r="B52" s="8">
        <v>3018</v>
      </c>
      <c r="C52" s="9" t="str">
        <f t="shared" si="3"/>
        <v>1470x85185fe3A4e36079818Ba1d12705A9B6898996580xa60AdD2af71a4f50b3F94509E71a1e9DbDeA5dDa1888481unidade1370027</v>
      </c>
      <c r="D52" s="13" t="s">
        <v>113</v>
      </c>
      <c r="E52" s="8" t="s">
        <v>514</v>
      </c>
      <c r="F52" s="8">
        <f t="shared" si="9"/>
        <v>0</v>
      </c>
      <c r="G52" s="8">
        <f t="shared" si="9"/>
        <v>0</v>
      </c>
      <c r="H52" s="8">
        <f t="shared" si="9"/>
        <v>0</v>
      </c>
      <c r="I52" s="8">
        <f t="shared" si="9"/>
        <v>4</v>
      </c>
      <c r="J52" s="8">
        <f t="shared" si="7"/>
        <v>0</v>
      </c>
      <c r="K52" s="15">
        <v>7.638888928340748E-4</v>
      </c>
      <c r="M52" s="8">
        <f t="shared" si="8"/>
        <v>147</v>
      </c>
      <c r="N52" s="9" t="s">
        <v>15</v>
      </c>
      <c r="O52" s="9" t="s">
        <v>16</v>
      </c>
      <c r="P52" s="9">
        <v>1888</v>
      </c>
      <c r="Q52" s="9">
        <v>481</v>
      </c>
      <c r="R52" s="8" t="s">
        <v>17</v>
      </c>
      <c r="S52" s="11">
        <v>137</v>
      </c>
      <c r="T52" s="10">
        <v>0.27</v>
      </c>
      <c r="X52" s="20"/>
      <c r="Y52" s="20"/>
    </row>
    <row r="53" spans="1:25" x14ac:dyDescent="0.3">
      <c r="A53" s="7">
        <f t="shared" si="5"/>
        <v>48</v>
      </c>
      <c r="B53" s="8">
        <v>4788</v>
      </c>
      <c r="C53" s="9" t="str">
        <f t="shared" si="3"/>
        <v>1480x85185fe3A4e36079818Ba1d12705A9B6898996580xa60AdD2af71a4f50b3F94509E71a1e9DbDeA5dDa1396271unidade1470027</v>
      </c>
      <c r="D53" s="13" t="s">
        <v>114</v>
      </c>
      <c r="E53" s="8" t="s">
        <v>515</v>
      </c>
      <c r="F53" s="8">
        <f t="shared" si="9"/>
        <v>0</v>
      </c>
      <c r="G53" s="8">
        <f t="shared" si="9"/>
        <v>0</v>
      </c>
      <c r="H53" s="8">
        <f t="shared" si="9"/>
        <v>0</v>
      </c>
      <c r="I53" s="8">
        <f t="shared" si="9"/>
        <v>1</v>
      </c>
      <c r="J53" s="8">
        <f t="shared" si="7"/>
        <v>0</v>
      </c>
      <c r="K53" s="15">
        <v>1.2384259243845008E-3</v>
      </c>
      <c r="M53" s="8">
        <f t="shared" si="8"/>
        <v>148</v>
      </c>
      <c r="N53" s="9" t="s">
        <v>15</v>
      </c>
      <c r="O53" s="9" t="s">
        <v>16</v>
      </c>
      <c r="P53" s="9">
        <v>1396</v>
      </c>
      <c r="Q53" s="9">
        <v>271</v>
      </c>
      <c r="R53" s="8" t="s">
        <v>17</v>
      </c>
      <c r="S53" s="11">
        <v>147</v>
      </c>
      <c r="T53" s="10">
        <v>0.27</v>
      </c>
      <c r="X53" s="20"/>
      <c r="Y53" s="20"/>
    </row>
    <row r="54" spans="1:25" x14ac:dyDescent="0.3">
      <c r="A54" s="7">
        <f t="shared" si="5"/>
        <v>49</v>
      </c>
      <c r="B54" s="8">
        <v>245</v>
      </c>
      <c r="C54" s="9" t="str">
        <f t="shared" si="3"/>
        <v>1490x85185fe3A4e36079818Ba1d12705A9B6898996580xa60AdD2af71a4f50b3F94509E71a1e9DbDeA5dDa1564269unidade2500027</v>
      </c>
      <c r="D54" s="13" t="s">
        <v>115</v>
      </c>
      <c r="E54" s="8" t="s">
        <v>516</v>
      </c>
      <c r="F54" s="8">
        <f t="shared" si="9"/>
        <v>0</v>
      </c>
      <c r="G54" s="8">
        <f t="shared" si="9"/>
        <v>0</v>
      </c>
      <c r="H54" s="8">
        <f t="shared" si="9"/>
        <v>0</v>
      </c>
      <c r="I54" s="8">
        <f t="shared" si="9"/>
        <v>2</v>
      </c>
      <c r="J54" s="8">
        <f t="shared" si="7"/>
        <v>0</v>
      </c>
      <c r="K54" s="15">
        <v>6.9444446125999093E-5</v>
      </c>
      <c r="M54" s="8">
        <f t="shared" si="8"/>
        <v>149</v>
      </c>
      <c r="N54" s="9" t="s">
        <v>15</v>
      </c>
      <c r="O54" s="9" t="s">
        <v>16</v>
      </c>
      <c r="P54" s="9">
        <v>1564</v>
      </c>
      <c r="Q54" s="9">
        <v>269</v>
      </c>
      <c r="R54" s="8" t="s">
        <v>17</v>
      </c>
      <c r="S54" s="11">
        <v>250</v>
      </c>
      <c r="T54" s="10">
        <v>0.27</v>
      </c>
      <c r="X54" s="20"/>
      <c r="Y54" s="20"/>
    </row>
    <row r="55" spans="1:25" x14ac:dyDescent="0.3">
      <c r="A55" s="7">
        <f t="shared" si="5"/>
        <v>50</v>
      </c>
      <c r="B55" s="8">
        <v>8888</v>
      </c>
      <c r="C55" s="9" t="str">
        <f t="shared" si="3"/>
        <v>1500x85185fe3A4e36079818Ba1d12705A9B6898996580xa60AdD2af71a4f50b3F94509E71a1e9DbDeA5dDa1149166unidade950027</v>
      </c>
      <c r="D55" s="13" t="s">
        <v>116</v>
      </c>
      <c r="E55" s="8" t="s">
        <v>517</v>
      </c>
      <c r="F55" s="8">
        <f t="shared" si="9"/>
        <v>0</v>
      </c>
      <c r="G55" s="8">
        <f t="shared" si="9"/>
        <v>0</v>
      </c>
      <c r="H55" s="8">
        <f t="shared" si="9"/>
        <v>0</v>
      </c>
      <c r="I55" s="8">
        <f t="shared" si="9"/>
        <v>1</v>
      </c>
      <c r="J55" s="8">
        <f t="shared" si="7"/>
        <v>0</v>
      </c>
      <c r="K55" s="15">
        <v>2.2916666639503092E-3</v>
      </c>
      <c r="M55" s="8">
        <f t="shared" si="8"/>
        <v>150</v>
      </c>
      <c r="N55" s="9" t="s">
        <v>15</v>
      </c>
      <c r="O55" s="9" t="s">
        <v>16</v>
      </c>
      <c r="P55" s="9">
        <v>1149</v>
      </c>
      <c r="Q55" s="9">
        <v>166</v>
      </c>
      <c r="R55" s="8" t="s">
        <v>17</v>
      </c>
      <c r="S55" s="11">
        <v>95</v>
      </c>
      <c r="T55" s="10">
        <v>0.27</v>
      </c>
      <c r="X55" s="20"/>
      <c r="Y55" s="20"/>
    </row>
    <row r="56" spans="1:25" x14ac:dyDescent="0.3">
      <c r="A56" s="7">
        <f t="shared" si="5"/>
        <v>51</v>
      </c>
      <c r="B56" s="8">
        <v>1092</v>
      </c>
      <c r="C56" s="9" t="str">
        <f t="shared" si="3"/>
        <v>1510x85185fe3A4e36079818Ba1d12705A9B6898996580xa60AdD2af71a4f50b3F94509E71a1e9DbDeA5dDa1973137unidade2200027</v>
      </c>
      <c r="D56" s="13" t="s">
        <v>117</v>
      </c>
      <c r="E56" s="8" t="s">
        <v>518</v>
      </c>
      <c r="F56" s="8">
        <f t="shared" si="9"/>
        <v>0</v>
      </c>
      <c r="G56" s="8">
        <f t="shared" si="9"/>
        <v>0</v>
      </c>
      <c r="H56" s="8">
        <f t="shared" si="9"/>
        <v>0</v>
      </c>
      <c r="I56" s="8">
        <f t="shared" si="9"/>
        <v>1</v>
      </c>
      <c r="J56" s="8">
        <f t="shared" si="7"/>
        <v>0</v>
      </c>
      <c r="K56" s="15">
        <v>2.7777777722803876E-4</v>
      </c>
      <c r="M56" s="8">
        <f t="shared" si="8"/>
        <v>151</v>
      </c>
      <c r="N56" s="9" t="s">
        <v>15</v>
      </c>
      <c r="O56" s="9" t="s">
        <v>16</v>
      </c>
      <c r="P56" s="9">
        <v>1973</v>
      </c>
      <c r="Q56" s="9">
        <v>137</v>
      </c>
      <c r="R56" s="8" t="s">
        <v>17</v>
      </c>
      <c r="S56" s="11">
        <v>220</v>
      </c>
      <c r="T56" s="10">
        <v>0.27</v>
      </c>
      <c r="X56" s="20"/>
      <c r="Y56" s="20"/>
    </row>
    <row r="57" spans="1:25" x14ac:dyDescent="0.3">
      <c r="A57" s="7">
        <f t="shared" si="5"/>
        <v>52</v>
      </c>
      <c r="B57" s="8">
        <v>1428</v>
      </c>
      <c r="C57" s="9" t="str">
        <f t="shared" si="3"/>
        <v>1520x85185fe3A4e36079818Ba1d12705A9B6898996580xa60AdD2af71a4f50b3F94509E71a1e9DbDeA5dDa1172483unidade1540027</v>
      </c>
      <c r="D57" s="13" t="s">
        <v>118</v>
      </c>
      <c r="E57" s="8" t="s">
        <v>519</v>
      </c>
      <c r="F57" s="8">
        <f t="shared" si="9"/>
        <v>0</v>
      </c>
      <c r="G57" s="8">
        <f t="shared" si="9"/>
        <v>0</v>
      </c>
      <c r="H57" s="8">
        <f t="shared" si="9"/>
        <v>0</v>
      </c>
      <c r="I57" s="8">
        <f t="shared" si="9"/>
        <v>1</v>
      </c>
      <c r="J57" s="8">
        <f t="shared" si="7"/>
        <v>0</v>
      </c>
      <c r="K57" s="15">
        <v>3.5879629285773262E-4</v>
      </c>
      <c r="M57" s="8">
        <f t="shared" si="8"/>
        <v>152</v>
      </c>
      <c r="N57" s="9" t="s">
        <v>15</v>
      </c>
      <c r="O57" s="9" t="s">
        <v>16</v>
      </c>
      <c r="P57" s="9">
        <v>1172</v>
      </c>
      <c r="Q57" s="9">
        <v>483</v>
      </c>
      <c r="R57" s="8" t="s">
        <v>17</v>
      </c>
      <c r="S57" s="11">
        <v>154</v>
      </c>
      <c r="T57" s="10">
        <v>0.27</v>
      </c>
      <c r="X57" s="20"/>
      <c r="Y57" s="20"/>
    </row>
    <row r="58" spans="1:25" x14ac:dyDescent="0.3">
      <c r="A58" s="7">
        <f t="shared" si="5"/>
        <v>53</v>
      </c>
      <c r="B58" s="8">
        <v>9158</v>
      </c>
      <c r="C58" s="9" t="str">
        <f t="shared" si="3"/>
        <v>1530x85185fe3A4e36079818Ba1d12705A9B6898996580xa60AdD2af71a4f50b3F94509E71a1e9DbDeA5dDa1111338unidade1160027</v>
      </c>
      <c r="D58" s="13" t="s">
        <v>119</v>
      </c>
      <c r="E58" s="8" t="s">
        <v>520</v>
      </c>
      <c r="F58" s="8">
        <f t="shared" si="9"/>
        <v>0</v>
      </c>
      <c r="G58" s="8">
        <f t="shared" si="9"/>
        <v>0</v>
      </c>
      <c r="H58" s="8">
        <f t="shared" si="9"/>
        <v>0</v>
      </c>
      <c r="I58" s="8">
        <f t="shared" si="9"/>
        <v>4</v>
      </c>
      <c r="J58" s="8">
        <f t="shared" si="7"/>
        <v>0</v>
      </c>
      <c r="K58" s="15">
        <v>2.3495370405726135E-3</v>
      </c>
      <c r="M58" s="8">
        <f t="shared" si="8"/>
        <v>153</v>
      </c>
      <c r="N58" s="9" t="s">
        <v>15</v>
      </c>
      <c r="O58" s="9" t="s">
        <v>16</v>
      </c>
      <c r="P58" s="9">
        <v>1111</v>
      </c>
      <c r="Q58" s="9">
        <v>338</v>
      </c>
      <c r="R58" s="8" t="s">
        <v>17</v>
      </c>
      <c r="S58" s="11">
        <v>116</v>
      </c>
      <c r="T58" s="10">
        <v>0.27</v>
      </c>
      <c r="X58" s="20"/>
      <c r="Y58" s="20"/>
    </row>
    <row r="59" spans="1:25" x14ac:dyDescent="0.3">
      <c r="A59" s="7">
        <f t="shared" si="5"/>
        <v>54</v>
      </c>
      <c r="B59" s="8">
        <v>2760</v>
      </c>
      <c r="C59" s="9" t="str">
        <f t="shared" si="3"/>
        <v>1540x85185fe3A4e36079818Ba1d12705A9B6898996590xa60AdD2af71a4f50b3F94509E71a1e9DbDeA5dDa1144259unidade1560027</v>
      </c>
      <c r="D59" s="13" t="s">
        <v>120</v>
      </c>
      <c r="E59" s="8" t="s">
        <v>521</v>
      </c>
      <c r="F59" s="8">
        <f t="shared" si="9"/>
        <v>0</v>
      </c>
      <c r="G59" s="8">
        <f t="shared" si="9"/>
        <v>0</v>
      </c>
      <c r="H59" s="8">
        <f t="shared" si="9"/>
        <v>0</v>
      </c>
      <c r="I59" s="8">
        <f t="shared" si="9"/>
        <v>1</v>
      </c>
      <c r="J59" s="8">
        <f t="shared" si="7"/>
        <v>0</v>
      </c>
      <c r="K59" s="15">
        <v>7.0601852348772809E-4</v>
      </c>
      <c r="M59" s="8">
        <f t="shared" si="8"/>
        <v>154</v>
      </c>
      <c r="N59" s="9" t="s">
        <v>18</v>
      </c>
      <c r="O59" s="9" t="s">
        <v>16</v>
      </c>
      <c r="P59" s="9">
        <v>1144</v>
      </c>
      <c r="Q59" s="9">
        <v>259</v>
      </c>
      <c r="R59" s="8" t="s">
        <v>17</v>
      </c>
      <c r="S59" s="11">
        <v>156</v>
      </c>
      <c r="T59" s="10">
        <v>0.27</v>
      </c>
      <c r="X59" s="20"/>
      <c r="Y59" s="20"/>
    </row>
    <row r="60" spans="1:25" x14ac:dyDescent="0.3">
      <c r="A60" s="7">
        <f t="shared" si="5"/>
        <v>55</v>
      </c>
      <c r="B60" s="8">
        <v>5650</v>
      </c>
      <c r="C60" s="9" t="str">
        <f t="shared" si="3"/>
        <v>1550x85185fe3A4e36079818Ba1d12705A9B6898996600xa60AdD2af71a4f50b3F94509E71a1e9DbDeA5dDa1496112unidade1550027</v>
      </c>
      <c r="D60" s="13" t="s">
        <v>121</v>
      </c>
      <c r="E60" s="8" t="s">
        <v>522</v>
      </c>
      <c r="F60" s="8">
        <f t="shared" si="9"/>
        <v>0</v>
      </c>
      <c r="G60" s="8">
        <f t="shared" si="9"/>
        <v>0</v>
      </c>
      <c r="H60" s="8">
        <f t="shared" si="9"/>
        <v>0</v>
      </c>
      <c r="I60" s="8">
        <f t="shared" si="9"/>
        <v>1</v>
      </c>
      <c r="J60" s="8">
        <f t="shared" si="7"/>
        <v>0</v>
      </c>
      <c r="K60" s="15">
        <v>1.4467592554865405E-3</v>
      </c>
      <c r="M60" s="8">
        <f t="shared" si="8"/>
        <v>155</v>
      </c>
      <c r="N60" s="9" t="s">
        <v>19</v>
      </c>
      <c r="O60" s="9" t="s">
        <v>16</v>
      </c>
      <c r="P60" s="9">
        <v>1496</v>
      </c>
      <c r="Q60" s="9">
        <v>112</v>
      </c>
      <c r="R60" s="8" t="s">
        <v>17</v>
      </c>
      <c r="S60" s="11">
        <v>155</v>
      </c>
      <c r="T60" s="10">
        <v>0.27</v>
      </c>
      <c r="X60" s="20"/>
      <c r="Y60" s="20"/>
    </row>
    <row r="61" spans="1:25" x14ac:dyDescent="0.3">
      <c r="A61" s="7">
        <f t="shared" si="5"/>
        <v>56</v>
      </c>
      <c r="B61" s="8">
        <v>1976</v>
      </c>
      <c r="C61" s="9" t="str">
        <f t="shared" si="3"/>
        <v>1560x85185fe3A4e36079818Ba1d12705A9B6898996610xa60AdD2af71a4f50b3F94509E71a1e9DbDeA5dDa1761288unidade1760027</v>
      </c>
      <c r="D61" s="13" t="s">
        <v>122</v>
      </c>
      <c r="E61" s="8" t="s">
        <v>523</v>
      </c>
      <c r="F61" s="8">
        <f t="shared" si="9"/>
        <v>0</v>
      </c>
      <c r="G61" s="8">
        <f t="shared" si="9"/>
        <v>0</v>
      </c>
      <c r="H61" s="8">
        <f t="shared" si="9"/>
        <v>0</v>
      </c>
      <c r="I61" s="8">
        <f t="shared" si="9"/>
        <v>0</v>
      </c>
      <c r="J61" s="8">
        <f t="shared" si="7"/>
        <v>0</v>
      </c>
      <c r="K61" s="15">
        <v>5.092592618893832E-4</v>
      </c>
      <c r="M61" s="8">
        <f t="shared" si="8"/>
        <v>156</v>
      </c>
      <c r="N61" s="9" t="s">
        <v>20</v>
      </c>
      <c r="O61" s="9" t="s">
        <v>16</v>
      </c>
      <c r="P61" s="9">
        <v>1761</v>
      </c>
      <c r="Q61" s="9">
        <v>288</v>
      </c>
      <c r="R61" s="8" t="s">
        <v>17</v>
      </c>
      <c r="S61" s="11">
        <v>176</v>
      </c>
      <c r="T61" s="10">
        <v>0.27</v>
      </c>
      <c r="X61" s="20"/>
      <c r="Y61" s="20"/>
    </row>
    <row r="62" spans="1:25" x14ac:dyDescent="0.3">
      <c r="A62" s="7">
        <f t="shared" si="5"/>
        <v>57</v>
      </c>
      <c r="B62" s="8">
        <v>465</v>
      </c>
      <c r="C62" s="9" t="str">
        <f t="shared" si="3"/>
        <v>1570x85185fe3A4e36079818Ba1d12705A9B6898996620xa60AdD2af71a4f50b3F94509E71a1e9DbDeA5dDa1884235unidade1380027</v>
      </c>
      <c r="D62" s="13" t="s">
        <v>123</v>
      </c>
      <c r="E62" s="8" t="s">
        <v>524</v>
      </c>
      <c r="F62" s="8">
        <f t="shared" si="9"/>
        <v>0</v>
      </c>
      <c r="G62" s="8">
        <f t="shared" si="9"/>
        <v>0</v>
      </c>
      <c r="H62" s="8">
        <f t="shared" si="9"/>
        <v>0</v>
      </c>
      <c r="I62" s="8">
        <f t="shared" si="9"/>
        <v>1</v>
      </c>
      <c r="J62" s="8">
        <f t="shared" si="7"/>
        <v>0</v>
      </c>
      <c r="K62" s="15">
        <v>1.1574074596865103E-4</v>
      </c>
      <c r="M62" s="8">
        <f t="shared" si="8"/>
        <v>157</v>
      </c>
      <c r="N62" s="9" t="s">
        <v>21</v>
      </c>
      <c r="O62" s="9" t="s">
        <v>16</v>
      </c>
      <c r="P62" s="9">
        <v>1884</v>
      </c>
      <c r="Q62" s="9">
        <v>235</v>
      </c>
      <c r="R62" s="8" t="s">
        <v>17</v>
      </c>
      <c r="S62" s="11">
        <v>138</v>
      </c>
      <c r="T62" s="10">
        <v>0.27</v>
      </c>
      <c r="X62" s="20"/>
      <c r="Y62" s="20"/>
    </row>
    <row r="63" spans="1:25" x14ac:dyDescent="0.3">
      <c r="A63" s="7">
        <f t="shared" si="5"/>
        <v>58</v>
      </c>
      <c r="B63" s="8">
        <v>717</v>
      </c>
      <c r="C63" s="9" t="str">
        <f t="shared" si="3"/>
        <v>1580x85185fe3A4e36079818Ba1d12705A9B6898996630xa60AdD2af71a4f50b3F94509E71a1e9DbDeA5dDa1405495unidade2000027</v>
      </c>
      <c r="D63" s="13" t="s">
        <v>124</v>
      </c>
      <c r="E63" s="8" t="s">
        <v>525</v>
      </c>
      <c r="F63" s="8">
        <f t="shared" si="9"/>
        <v>0</v>
      </c>
      <c r="G63" s="8">
        <f t="shared" si="9"/>
        <v>0</v>
      </c>
      <c r="H63" s="8">
        <f t="shared" si="9"/>
        <v>0</v>
      </c>
      <c r="I63" s="8">
        <f t="shared" si="9"/>
        <v>1</v>
      </c>
      <c r="J63" s="8">
        <f t="shared" si="7"/>
        <v>0</v>
      </c>
      <c r="K63" s="15">
        <v>1.8518518481869251E-4</v>
      </c>
      <c r="M63" s="8">
        <f t="shared" si="8"/>
        <v>158</v>
      </c>
      <c r="N63" s="9" t="s">
        <v>22</v>
      </c>
      <c r="O63" s="9" t="s">
        <v>16</v>
      </c>
      <c r="P63" s="9">
        <v>1405</v>
      </c>
      <c r="Q63" s="9">
        <v>495</v>
      </c>
      <c r="R63" s="8" t="s">
        <v>17</v>
      </c>
      <c r="S63" s="11">
        <v>200</v>
      </c>
      <c r="T63" s="10">
        <v>0.27</v>
      </c>
      <c r="X63" s="20"/>
      <c r="Y63" s="20"/>
    </row>
    <row r="64" spans="1:25" x14ac:dyDescent="0.3">
      <c r="A64" s="7">
        <f t="shared" si="5"/>
        <v>59</v>
      </c>
      <c r="B64" s="8">
        <v>2498</v>
      </c>
      <c r="C64" s="9" t="str">
        <f t="shared" si="3"/>
        <v>1590x85185fe3A4e36079818Ba1d12705A9B6898996640xa60AdD2af71a4f50b3F94509E71a1e9DbDeA5dDa1031469unidade1490027</v>
      </c>
      <c r="D64" s="13" t="s">
        <v>125</v>
      </c>
      <c r="E64" s="8" t="s">
        <v>526</v>
      </c>
      <c r="F64" s="8">
        <f t="shared" si="9"/>
        <v>0</v>
      </c>
      <c r="G64" s="8">
        <f t="shared" si="9"/>
        <v>0</v>
      </c>
      <c r="H64" s="8">
        <f t="shared" si="9"/>
        <v>0</v>
      </c>
      <c r="I64" s="8">
        <f t="shared" si="9"/>
        <v>1</v>
      </c>
      <c r="J64" s="8">
        <f t="shared" si="7"/>
        <v>0</v>
      </c>
      <c r="K64" s="15">
        <v>6.4814814686542377E-4</v>
      </c>
      <c r="M64" s="8">
        <f t="shared" si="8"/>
        <v>159</v>
      </c>
      <c r="N64" s="9" t="s">
        <v>23</v>
      </c>
      <c r="O64" s="9" t="s">
        <v>16</v>
      </c>
      <c r="P64" s="9">
        <v>1031</v>
      </c>
      <c r="Q64" s="9">
        <v>469</v>
      </c>
      <c r="R64" s="8" t="s">
        <v>17</v>
      </c>
      <c r="S64" s="11">
        <v>149</v>
      </c>
      <c r="T64" s="10">
        <v>0.27</v>
      </c>
      <c r="X64" s="20"/>
      <c r="Y64" s="20"/>
    </row>
    <row r="65" spans="1:25" x14ac:dyDescent="0.3">
      <c r="A65" s="7">
        <f t="shared" si="5"/>
        <v>60</v>
      </c>
      <c r="B65" s="8">
        <v>14878</v>
      </c>
      <c r="C65" s="9" t="str">
        <f t="shared" si="3"/>
        <v>1600x85185fe3A4e36079818Ba1d12705A9B6898996650xa60AdD2af71a4f50b3F94509E71a1e9DbDeA5dDa1587411unidade1940027</v>
      </c>
      <c r="D65" s="13" t="s">
        <v>126</v>
      </c>
      <c r="E65" s="8" t="s">
        <v>527</v>
      </c>
      <c r="F65" s="8">
        <f t="shared" si="9"/>
        <v>0</v>
      </c>
      <c r="G65" s="8">
        <f t="shared" si="9"/>
        <v>0</v>
      </c>
      <c r="H65" s="8">
        <f t="shared" si="9"/>
        <v>0</v>
      </c>
      <c r="I65" s="8">
        <f t="shared" si="9"/>
        <v>1</v>
      </c>
      <c r="J65" s="8">
        <f t="shared" si="7"/>
        <v>0</v>
      </c>
      <c r="K65" s="15">
        <v>3.8194444423425011E-3</v>
      </c>
      <c r="M65" s="8">
        <f t="shared" si="8"/>
        <v>160</v>
      </c>
      <c r="N65" s="9" t="s">
        <v>24</v>
      </c>
      <c r="O65" s="9" t="s">
        <v>16</v>
      </c>
      <c r="P65" s="9">
        <v>1587</v>
      </c>
      <c r="Q65" s="9">
        <v>411</v>
      </c>
      <c r="R65" s="8" t="s">
        <v>17</v>
      </c>
      <c r="S65" s="11">
        <v>194</v>
      </c>
      <c r="T65" s="10">
        <v>0.27</v>
      </c>
      <c r="X65" s="20"/>
      <c r="Y65" s="20"/>
    </row>
    <row r="66" spans="1:25" x14ac:dyDescent="0.3">
      <c r="A66" s="7">
        <f t="shared" si="5"/>
        <v>61</v>
      </c>
      <c r="B66" s="8">
        <v>609</v>
      </c>
      <c r="C66" s="9" t="str">
        <f t="shared" si="3"/>
        <v>1610x85185fe3A4e36079818Ba1d12705A9B6898996660xa60AdD2af71a4f50b3F94509E71a1e9DbDeA5dDa1006244unidade1310027</v>
      </c>
      <c r="D66" s="13" t="s">
        <v>127</v>
      </c>
      <c r="E66" s="8" t="s">
        <v>528</v>
      </c>
      <c r="F66" s="8">
        <f t="shared" si="9"/>
        <v>0</v>
      </c>
      <c r="G66" s="8">
        <f t="shared" si="9"/>
        <v>0</v>
      </c>
      <c r="H66" s="8">
        <f t="shared" si="9"/>
        <v>0</v>
      </c>
      <c r="I66" s="8">
        <f t="shared" si="9"/>
        <v>1</v>
      </c>
      <c r="J66" s="8">
        <f t="shared" si="7"/>
        <v>0</v>
      </c>
      <c r="K66" s="15">
        <v>1.6203703853534535E-4</v>
      </c>
      <c r="M66" s="8">
        <f t="shared" si="8"/>
        <v>161</v>
      </c>
      <c r="N66" s="9" t="s">
        <v>25</v>
      </c>
      <c r="O66" s="9" t="s">
        <v>16</v>
      </c>
      <c r="P66" s="9">
        <v>1006</v>
      </c>
      <c r="Q66" s="9">
        <v>244</v>
      </c>
      <c r="R66" s="8" t="s">
        <v>17</v>
      </c>
      <c r="S66" s="11">
        <v>131</v>
      </c>
      <c r="T66" s="10">
        <v>0.27</v>
      </c>
      <c r="X66" s="20"/>
      <c r="Y66" s="20"/>
    </row>
    <row r="67" spans="1:25" x14ac:dyDescent="0.3">
      <c r="A67" s="7">
        <f t="shared" si="5"/>
        <v>62</v>
      </c>
      <c r="B67" s="8">
        <v>1804</v>
      </c>
      <c r="C67" s="9" t="str">
        <f t="shared" si="3"/>
        <v>1620x85185fe3A4e36079818Ba1d12705A9B6898996670xa60AdD2af71a4f50b3F94509E71a1e9DbDeA5dDa1486447unidade1560027</v>
      </c>
      <c r="D67" s="13" t="s">
        <v>128</v>
      </c>
      <c r="E67" s="8" t="s">
        <v>529</v>
      </c>
      <c r="F67" s="8">
        <f t="shared" si="9"/>
        <v>0</v>
      </c>
      <c r="G67" s="8">
        <f t="shared" si="9"/>
        <v>0</v>
      </c>
      <c r="H67" s="8">
        <f t="shared" si="9"/>
        <v>0</v>
      </c>
      <c r="I67" s="8">
        <f t="shared" si="9"/>
        <v>1</v>
      </c>
      <c r="J67" s="8">
        <f t="shared" si="7"/>
        <v>0</v>
      </c>
      <c r="K67" s="15">
        <v>4.7453703882638365E-4</v>
      </c>
      <c r="M67" s="8">
        <f t="shared" si="8"/>
        <v>162</v>
      </c>
      <c r="N67" s="9" t="s">
        <v>26</v>
      </c>
      <c r="O67" s="9" t="s">
        <v>16</v>
      </c>
      <c r="P67" s="9">
        <v>1486</v>
      </c>
      <c r="Q67" s="9">
        <v>447</v>
      </c>
      <c r="R67" s="8" t="s">
        <v>17</v>
      </c>
      <c r="S67" s="11">
        <v>156</v>
      </c>
      <c r="T67" s="10">
        <v>0.27</v>
      </c>
      <c r="X67" s="20"/>
      <c r="Y67" s="20"/>
    </row>
    <row r="68" spans="1:25" x14ac:dyDescent="0.3">
      <c r="A68" s="7">
        <f t="shared" si="5"/>
        <v>63</v>
      </c>
      <c r="B68" s="8">
        <v>769</v>
      </c>
      <c r="C68" s="9" t="str">
        <f t="shared" si="3"/>
        <v>1630x85185fe3A4e36079818Ba1d12705A9B6898996680xa60AdD2af71a4f50b3F94509E71a1e9DbDeA5dDa1902414unidade1080027</v>
      </c>
      <c r="D68" s="13" t="s">
        <v>129</v>
      </c>
      <c r="E68" s="8" t="s">
        <v>530</v>
      </c>
      <c r="F68" s="8">
        <f t="shared" si="9"/>
        <v>0</v>
      </c>
      <c r="G68" s="8">
        <f t="shared" si="9"/>
        <v>0</v>
      </c>
      <c r="H68" s="8">
        <f t="shared" si="9"/>
        <v>0</v>
      </c>
      <c r="I68" s="8">
        <f t="shared" si="9"/>
        <v>4</v>
      </c>
      <c r="J68" s="8">
        <f t="shared" si="7"/>
        <v>0</v>
      </c>
      <c r="K68" s="15">
        <v>1.9675925432238728E-4</v>
      </c>
      <c r="M68" s="8">
        <f t="shared" si="8"/>
        <v>163</v>
      </c>
      <c r="N68" s="9" t="s">
        <v>27</v>
      </c>
      <c r="O68" s="9" t="s">
        <v>16</v>
      </c>
      <c r="P68" s="9">
        <v>1902</v>
      </c>
      <c r="Q68" s="9">
        <v>414</v>
      </c>
      <c r="R68" s="8" t="s">
        <v>17</v>
      </c>
      <c r="S68" s="11">
        <v>108</v>
      </c>
      <c r="T68" s="10">
        <v>0.27</v>
      </c>
      <c r="X68" s="20"/>
      <c r="Y68" s="20"/>
    </row>
    <row r="69" spans="1:25" x14ac:dyDescent="0.3">
      <c r="A69" s="7">
        <f t="shared" si="5"/>
        <v>64</v>
      </c>
      <c r="B69" s="8">
        <v>6246</v>
      </c>
      <c r="C69" s="9" t="str">
        <f t="shared" si="3"/>
        <v>1640x85185fe3A4e36079818Ba1d12705A9B6898996690xa60AdD2af71a4f50b3F94509E71a1e9DbDeA5dDa1039448unidade830027</v>
      </c>
      <c r="D69" s="13" t="s">
        <v>130</v>
      </c>
      <c r="E69" s="8" t="s">
        <v>531</v>
      </c>
      <c r="F69" s="8">
        <f t="shared" si="9"/>
        <v>0</v>
      </c>
      <c r="G69" s="8">
        <f t="shared" si="9"/>
        <v>0</v>
      </c>
      <c r="H69" s="8">
        <f t="shared" si="9"/>
        <v>0</v>
      </c>
      <c r="I69" s="8">
        <f t="shared" si="9"/>
        <v>1</v>
      </c>
      <c r="J69" s="8">
        <f t="shared" si="7"/>
        <v>0</v>
      </c>
      <c r="K69" s="15">
        <v>1.6087963012978435E-3</v>
      </c>
      <c r="M69" s="8">
        <f t="shared" si="8"/>
        <v>164</v>
      </c>
      <c r="N69" s="9" t="s">
        <v>28</v>
      </c>
      <c r="O69" s="9" t="s">
        <v>16</v>
      </c>
      <c r="P69" s="9">
        <v>1039</v>
      </c>
      <c r="Q69" s="9">
        <v>448</v>
      </c>
      <c r="R69" s="8" t="s">
        <v>17</v>
      </c>
      <c r="S69" s="11">
        <v>83</v>
      </c>
      <c r="T69" s="10">
        <v>0.27</v>
      </c>
      <c r="X69" s="20"/>
      <c r="Y69" s="20"/>
    </row>
    <row r="70" spans="1:25" x14ac:dyDescent="0.3">
      <c r="A70" s="7">
        <f t="shared" si="5"/>
        <v>65</v>
      </c>
      <c r="B70" s="8">
        <v>2021</v>
      </c>
      <c r="C70" s="9" t="str">
        <f t="shared" ref="C70:C105" si="10">M70&amp;N70&amp;O70&amp;P70&amp;Q70&amp;R70&amp;(S70*100)&amp;(T70*100)</f>
        <v>1650x85185fe3A4e36079818Ba1d12705A9B6898996700xa60AdD2af71a4f50b3F94509E71a1e9DbDeA5dDa1619245unidade2080027</v>
      </c>
      <c r="D70" s="13" t="s">
        <v>131</v>
      </c>
      <c r="E70" s="8" t="s">
        <v>532</v>
      </c>
      <c r="F70" s="8">
        <f t="shared" si="9"/>
        <v>0</v>
      </c>
      <c r="G70" s="8">
        <f t="shared" si="9"/>
        <v>0</v>
      </c>
      <c r="H70" s="8">
        <f t="shared" si="9"/>
        <v>0</v>
      </c>
      <c r="I70" s="8">
        <f t="shared" si="9"/>
        <v>8</v>
      </c>
      <c r="J70" s="8">
        <f t="shared" si="7"/>
        <v>0</v>
      </c>
      <c r="K70" s="15">
        <v>5.2083333139307797E-4</v>
      </c>
      <c r="M70" s="8">
        <f t="shared" ref="M70:M133" si="11">1+M69</f>
        <v>165</v>
      </c>
      <c r="N70" s="9" t="s">
        <v>29</v>
      </c>
      <c r="O70" s="9" t="s">
        <v>16</v>
      </c>
      <c r="P70" s="9">
        <v>1619</v>
      </c>
      <c r="Q70" s="9">
        <v>245</v>
      </c>
      <c r="R70" s="8" t="s">
        <v>17</v>
      </c>
      <c r="S70" s="11">
        <v>208</v>
      </c>
      <c r="T70" s="10">
        <v>0.27</v>
      </c>
      <c r="X70" s="20"/>
      <c r="Y70" s="20"/>
    </row>
    <row r="71" spans="1:25" x14ac:dyDescent="0.3">
      <c r="A71" s="7">
        <f t="shared" ref="A71:A134" si="12">1+A70</f>
        <v>66</v>
      </c>
      <c r="B71" s="8">
        <v>6965</v>
      </c>
      <c r="C71" s="9" t="str">
        <f t="shared" si="10"/>
        <v>1660x85185fe3A4e36079818Ba1d12705A9B6898996710xa60AdD2af71a4f50b3F94509E71a1e9DbDeA5dDa1589107unidade1600027</v>
      </c>
      <c r="D71" s="13" t="s">
        <v>132</v>
      </c>
      <c r="E71" s="8" t="s">
        <v>533</v>
      </c>
      <c r="F71" s="8">
        <f t="shared" ref="F71:I106" si="13">IFERROR(VALUE(MID($E71,F$1,1)),1)</f>
        <v>0</v>
      </c>
      <c r="G71" s="8">
        <f t="shared" si="13"/>
        <v>0</v>
      </c>
      <c r="H71" s="8">
        <f t="shared" si="13"/>
        <v>0</v>
      </c>
      <c r="I71" s="8">
        <f t="shared" si="13"/>
        <v>9</v>
      </c>
      <c r="J71" s="8">
        <f t="shared" ref="J71:J105" si="14">SUM(F71:H71)</f>
        <v>0</v>
      </c>
      <c r="K71" s="15">
        <v>1.7824074093368836E-3</v>
      </c>
      <c r="M71" s="8">
        <f t="shared" si="11"/>
        <v>166</v>
      </c>
      <c r="N71" s="9" t="s">
        <v>30</v>
      </c>
      <c r="O71" s="9" t="s">
        <v>16</v>
      </c>
      <c r="P71" s="9">
        <v>1589</v>
      </c>
      <c r="Q71" s="9">
        <v>107</v>
      </c>
      <c r="R71" s="8" t="s">
        <v>17</v>
      </c>
      <c r="S71" s="11">
        <v>160</v>
      </c>
      <c r="T71" s="10">
        <v>0.27</v>
      </c>
      <c r="X71" s="20"/>
      <c r="Y71" s="20"/>
    </row>
    <row r="72" spans="1:25" x14ac:dyDescent="0.3">
      <c r="A72" s="7">
        <f t="shared" si="12"/>
        <v>67</v>
      </c>
      <c r="B72" s="8">
        <v>16578</v>
      </c>
      <c r="C72" s="9" t="str">
        <f t="shared" si="10"/>
        <v>1670x85185fe3A4e36079818Ba1d12705A9B6898996720xa60AdD2af71a4f50b3F94509E71a1e9DbDeA5dDa1168317unidade1010027</v>
      </c>
      <c r="D72" s="13" t="s">
        <v>133</v>
      </c>
      <c r="E72" s="8" t="s">
        <v>534</v>
      </c>
      <c r="F72" s="8">
        <f t="shared" si="13"/>
        <v>0</v>
      </c>
      <c r="G72" s="8">
        <f t="shared" si="13"/>
        <v>0</v>
      </c>
      <c r="H72" s="8">
        <f t="shared" si="13"/>
        <v>0</v>
      </c>
      <c r="I72" s="8">
        <f t="shared" si="13"/>
        <v>5</v>
      </c>
      <c r="J72" s="8">
        <f t="shared" si="14"/>
        <v>0</v>
      </c>
      <c r="K72" s="15">
        <v>4.2592592581058852E-3</v>
      </c>
      <c r="M72" s="8">
        <f t="shared" si="11"/>
        <v>167</v>
      </c>
      <c r="N72" s="9" t="s">
        <v>31</v>
      </c>
      <c r="O72" s="9" t="s">
        <v>16</v>
      </c>
      <c r="P72" s="9">
        <v>1168</v>
      </c>
      <c r="Q72" s="9">
        <v>317</v>
      </c>
      <c r="R72" s="8" t="s">
        <v>17</v>
      </c>
      <c r="S72" s="11">
        <v>101</v>
      </c>
      <c r="T72" s="10">
        <v>0.27</v>
      </c>
      <c r="X72" s="20"/>
      <c r="Y72" s="20"/>
    </row>
    <row r="73" spans="1:25" x14ac:dyDescent="0.3">
      <c r="A73" s="7">
        <f t="shared" si="12"/>
        <v>68</v>
      </c>
      <c r="B73" s="8">
        <v>1409</v>
      </c>
      <c r="C73" s="9" t="str">
        <f t="shared" si="10"/>
        <v>1680x85185fe3A4e36079818Ba1d12705A9B6898996730xa60AdD2af71a4f50b3F94509E71a1e9DbDeA5dDa1893312unidade1630027</v>
      </c>
      <c r="D73" s="13" t="s">
        <v>134</v>
      </c>
      <c r="E73" s="8" t="s">
        <v>535</v>
      </c>
      <c r="F73" s="8">
        <f t="shared" si="13"/>
        <v>0</v>
      </c>
      <c r="G73" s="8">
        <f t="shared" si="13"/>
        <v>0</v>
      </c>
      <c r="H73" s="8">
        <f t="shared" si="13"/>
        <v>0</v>
      </c>
      <c r="I73" s="8">
        <f t="shared" si="13"/>
        <v>0</v>
      </c>
      <c r="J73" s="8">
        <f t="shared" si="14"/>
        <v>0</v>
      </c>
      <c r="K73" s="15">
        <v>3.5879629285773262E-4</v>
      </c>
      <c r="M73" s="8">
        <f t="shared" si="11"/>
        <v>168</v>
      </c>
      <c r="N73" s="9" t="s">
        <v>32</v>
      </c>
      <c r="O73" s="9" t="s">
        <v>16</v>
      </c>
      <c r="P73" s="9">
        <v>1893</v>
      </c>
      <c r="Q73" s="9">
        <v>312</v>
      </c>
      <c r="R73" s="8" t="s">
        <v>17</v>
      </c>
      <c r="S73" s="11">
        <v>163</v>
      </c>
      <c r="T73" s="10">
        <v>0.27</v>
      </c>
      <c r="X73" s="20"/>
      <c r="Y73" s="20"/>
    </row>
    <row r="74" spans="1:25" x14ac:dyDescent="0.3">
      <c r="A74" s="7">
        <f t="shared" si="12"/>
        <v>69</v>
      </c>
      <c r="B74" s="8">
        <v>173</v>
      </c>
      <c r="C74" s="9" t="str">
        <f t="shared" si="10"/>
        <v>1690x85185fe3A4e36079818Ba1d12705A9B6898996740xa60AdD2af71a4f50b3F94509E71a1e9DbDeA5dDa1057439unidade700027</v>
      </c>
      <c r="D74" s="13" t="s">
        <v>135</v>
      </c>
      <c r="E74" s="8" t="s">
        <v>536</v>
      </c>
      <c r="F74" s="8">
        <f t="shared" si="13"/>
        <v>0</v>
      </c>
      <c r="G74" s="8">
        <f t="shared" si="13"/>
        <v>0</v>
      </c>
      <c r="H74" s="8">
        <f t="shared" si="13"/>
        <v>0</v>
      </c>
      <c r="I74" s="8">
        <f t="shared" si="13"/>
        <v>1</v>
      </c>
      <c r="J74" s="8">
        <f t="shared" si="14"/>
        <v>0</v>
      </c>
      <c r="K74" s="15">
        <v>4.6296299842651933E-5</v>
      </c>
      <c r="M74" s="8">
        <f t="shared" si="11"/>
        <v>169</v>
      </c>
      <c r="N74" s="9" t="s">
        <v>33</v>
      </c>
      <c r="O74" s="9" t="s">
        <v>16</v>
      </c>
      <c r="P74" s="9">
        <v>1057</v>
      </c>
      <c r="Q74" s="9">
        <v>439</v>
      </c>
      <c r="R74" s="8" t="s">
        <v>17</v>
      </c>
      <c r="S74" s="11">
        <v>70</v>
      </c>
      <c r="T74" s="10">
        <v>0.27</v>
      </c>
      <c r="X74" s="20"/>
      <c r="Y74" s="20"/>
    </row>
    <row r="75" spans="1:25" x14ac:dyDescent="0.3">
      <c r="A75" s="7">
        <f t="shared" si="12"/>
        <v>70</v>
      </c>
      <c r="B75" s="8">
        <v>3056</v>
      </c>
      <c r="C75" s="9" t="str">
        <f t="shared" si="10"/>
        <v>1700x85185fe3A4e36079818Ba1d12705A9B6898996750xa60AdD2af71a4f50b3F94509E71a1e9DbDeA5dDa1576199unidade1350027</v>
      </c>
      <c r="D75" s="13" t="s">
        <v>136</v>
      </c>
      <c r="E75" s="8" t="s">
        <v>537</v>
      </c>
      <c r="F75" s="8">
        <f t="shared" si="13"/>
        <v>0</v>
      </c>
      <c r="G75" s="8">
        <f t="shared" si="13"/>
        <v>0</v>
      </c>
      <c r="H75" s="8">
        <f t="shared" si="13"/>
        <v>0</v>
      </c>
      <c r="I75" s="8">
        <f t="shared" si="13"/>
        <v>1</v>
      </c>
      <c r="J75" s="8">
        <f t="shared" si="14"/>
        <v>0</v>
      </c>
      <c r="K75" s="15">
        <v>7.7546296233776957E-4</v>
      </c>
      <c r="M75" s="8">
        <f t="shared" si="11"/>
        <v>170</v>
      </c>
      <c r="N75" s="9" t="s">
        <v>34</v>
      </c>
      <c r="O75" s="9" t="s">
        <v>16</v>
      </c>
      <c r="P75" s="9">
        <v>1576</v>
      </c>
      <c r="Q75" s="9">
        <v>199</v>
      </c>
      <c r="R75" s="8" t="s">
        <v>17</v>
      </c>
      <c r="S75" s="11">
        <v>135</v>
      </c>
      <c r="T75" s="10">
        <v>0.27</v>
      </c>
      <c r="X75" s="20"/>
      <c r="Y75" s="20"/>
    </row>
    <row r="76" spans="1:25" x14ac:dyDescent="0.3">
      <c r="A76" s="7">
        <f t="shared" si="12"/>
        <v>71</v>
      </c>
      <c r="B76" s="8">
        <v>3514</v>
      </c>
      <c r="C76" s="9" t="str">
        <f t="shared" si="10"/>
        <v>1710x85185fe3A4e36079818Ba1d12705A9B6898996760xa60AdD2af71a4f50b3F94509E71a1e9DbDeA5dDa1583344unidade600027</v>
      </c>
      <c r="D76" s="13" t="s">
        <v>137</v>
      </c>
      <c r="E76" s="8" t="s">
        <v>538</v>
      </c>
      <c r="F76" s="8">
        <f t="shared" si="13"/>
        <v>0</v>
      </c>
      <c r="G76" s="8">
        <f t="shared" si="13"/>
        <v>0</v>
      </c>
      <c r="H76" s="8">
        <f t="shared" si="13"/>
        <v>0</v>
      </c>
      <c r="I76" s="8">
        <f t="shared" si="13"/>
        <v>3</v>
      </c>
      <c r="J76" s="8">
        <f t="shared" si="14"/>
        <v>0</v>
      </c>
      <c r="K76" s="15">
        <v>9.1435184731381014E-4</v>
      </c>
      <c r="M76" s="8">
        <f t="shared" si="11"/>
        <v>171</v>
      </c>
      <c r="N76" s="9" t="s">
        <v>35</v>
      </c>
      <c r="O76" s="9" t="s">
        <v>16</v>
      </c>
      <c r="P76" s="9">
        <v>1583</v>
      </c>
      <c r="Q76" s="9">
        <v>344</v>
      </c>
      <c r="R76" s="8" t="s">
        <v>17</v>
      </c>
      <c r="S76" s="11">
        <v>60</v>
      </c>
      <c r="T76" s="10">
        <v>0.27</v>
      </c>
      <c r="X76" s="20"/>
      <c r="Y76" s="20"/>
    </row>
    <row r="77" spans="1:25" x14ac:dyDescent="0.3">
      <c r="A77" s="7">
        <f t="shared" si="12"/>
        <v>72</v>
      </c>
      <c r="B77" s="8">
        <v>5234</v>
      </c>
      <c r="C77" s="9" t="str">
        <f t="shared" si="10"/>
        <v>1720x85185fe3A4e36079818Ba1d12705A9B6898996770xa60AdD2af71a4f50b3F94509E71a1e9DbDeA5dDa1195486unidade2470027</v>
      </c>
      <c r="D77" s="13" t="s">
        <v>138</v>
      </c>
      <c r="E77" s="8" t="s">
        <v>539</v>
      </c>
      <c r="F77" s="8">
        <f t="shared" si="13"/>
        <v>0</v>
      </c>
      <c r="G77" s="8">
        <f t="shared" si="13"/>
        <v>0</v>
      </c>
      <c r="H77" s="8">
        <f t="shared" si="13"/>
        <v>0</v>
      </c>
      <c r="I77" s="8">
        <f t="shared" si="13"/>
        <v>1</v>
      </c>
      <c r="J77" s="8">
        <f t="shared" si="14"/>
        <v>0</v>
      </c>
      <c r="K77" s="15">
        <v>1.3310185240698047E-3</v>
      </c>
      <c r="M77" s="8">
        <f t="shared" si="11"/>
        <v>172</v>
      </c>
      <c r="N77" s="9" t="s">
        <v>36</v>
      </c>
      <c r="O77" s="9" t="s">
        <v>16</v>
      </c>
      <c r="P77" s="9">
        <v>1195</v>
      </c>
      <c r="Q77" s="9">
        <v>486</v>
      </c>
      <c r="R77" s="8" t="s">
        <v>17</v>
      </c>
      <c r="S77" s="11">
        <v>247</v>
      </c>
      <c r="T77" s="10">
        <v>0.27</v>
      </c>
      <c r="X77" s="20"/>
      <c r="Y77" s="20"/>
    </row>
    <row r="78" spans="1:25" x14ac:dyDescent="0.3">
      <c r="A78" s="7">
        <f t="shared" si="12"/>
        <v>73</v>
      </c>
      <c r="B78" s="8">
        <v>6949</v>
      </c>
      <c r="C78" s="9" t="str">
        <f t="shared" si="10"/>
        <v>1730x85185fe3A4e36079818Ba1d12705A9B6898996780xa60AdD2af71a4f50b3F94509E71a1e9DbDeA5dDa1674246unidade880027</v>
      </c>
      <c r="D78" s="13" t="s">
        <v>139</v>
      </c>
      <c r="E78" s="8" t="s">
        <v>540</v>
      </c>
      <c r="F78" s="8">
        <f t="shared" si="13"/>
        <v>0</v>
      </c>
      <c r="G78" s="8">
        <f t="shared" si="13"/>
        <v>0</v>
      </c>
      <c r="H78" s="8">
        <f t="shared" si="13"/>
        <v>0</v>
      </c>
      <c r="I78" s="8">
        <f t="shared" si="13"/>
        <v>1</v>
      </c>
      <c r="J78" s="8">
        <f t="shared" si="14"/>
        <v>0</v>
      </c>
      <c r="K78" s="15">
        <v>1.782407402060926E-3</v>
      </c>
      <c r="M78" s="8">
        <f t="shared" si="11"/>
        <v>173</v>
      </c>
      <c r="N78" s="9" t="s">
        <v>37</v>
      </c>
      <c r="O78" s="9" t="s">
        <v>16</v>
      </c>
      <c r="P78" s="9">
        <v>1674</v>
      </c>
      <c r="Q78" s="9">
        <v>246</v>
      </c>
      <c r="R78" s="8" t="s">
        <v>17</v>
      </c>
      <c r="S78" s="11">
        <v>88</v>
      </c>
      <c r="T78" s="10">
        <v>0.27</v>
      </c>
      <c r="X78" s="20"/>
      <c r="Y78" s="20"/>
    </row>
    <row r="79" spans="1:25" x14ac:dyDescent="0.3">
      <c r="A79" s="7">
        <f t="shared" si="12"/>
        <v>74</v>
      </c>
      <c r="B79" s="8">
        <v>4211</v>
      </c>
      <c r="C79" s="9" t="str">
        <f t="shared" si="10"/>
        <v>1740x85185fe3A4e36079818Ba1d12705A9B6898996790xa60AdD2af71a4f50b3F94509E71a1e9DbDeA5dDa1054470unidade2180027</v>
      </c>
      <c r="D79" s="13" t="s">
        <v>140</v>
      </c>
      <c r="E79" s="8" t="s">
        <v>541</v>
      </c>
      <c r="F79" s="8">
        <f t="shared" si="13"/>
        <v>0</v>
      </c>
      <c r="G79" s="8">
        <f t="shared" si="13"/>
        <v>0</v>
      </c>
      <c r="H79" s="8">
        <f t="shared" si="13"/>
        <v>0</v>
      </c>
      <c r="I79" s="8">
        <f t="shared" si="13"/>
        <v>9</v>
      </c>
      <c r="J79" s="8">
        <f t="shared" si="14"/>
        <v>0</v>
      </c>
      <c r="K79" s="15">
        <v>1.0648148163454607E-3</v>
      </c>
      <c r="M79" s="8">
        <f t="shared" si="11"/>
        <v>174</v>
      </c>
      <c r="N79" s="9" t="s">
        <v>38</v>
      </c>
      <c r="O79" s="9" t="s">
        <v>16</v>
      </c>
      <c r="P79" s="9">
        <v>1054</v>
      </c>
      <c r="Q79" s="9">
        <v>470</v>
      </c>
      <c r="R79" s="8" t="s">
        <v>17</v>
      </c>
      <c r="S79" s="11">
        <v>218</v>
      </c>
      <c r="T79" s="10">
        <v>0.27</v>
      </c>
      <c r="X79" s="20"/>
      <c r="Y79" s="20"/>
    </row>
    <row r="80" spans="1:25" x14ac:dyDescent="0.3">
      <c r="A80" s="7">
        <f t="shared" si="12"/>
        <v>75</v>
      </c>
      <c r="B80" s="8">
        <v>2970</v>
      </c>
      <c r="C80" s="9" t="str">
        <f t="shared" si="10"/>
        <v>1750x85185fe3A4e36079818Ba1d12705A9B6898996800xa60AdD2af71a4f50b3F94509E71a1e9DbDeA5dDa1335259unidade1750027</v>
      </c>
      <c r="D80" s="13" t="s">
        <v>141</v>
      </c>
      <c r="E80" s="8" t="s">
        <v>542</v>
      </c>
      <c r="F80" s="8">
        <f t="shared" si="13"/>
        <v>0</v>
      </c>
      <c r="G80" s="8">
        <f t="shared" si="13"/>
        <v>0</v>
      </c>
      <c r="H80" s="8">
        <f t="shared" si="13"/>
        <v>0</v>
      </c>
      <c r="I80" s="8">
        <f t="shared" si="13"/>
        <v>5</v>
      </c>
      <c r="J80" s="8">
        <f t="shared" si="14"/>
        <v>0</v>
      </c>
      <c r="K80" s="15">
        <v>7.638888928340748E-4</v>
      </c>
      <c r="M80" s="8">
        <f t="shared" si="11"/>
        <v>175</v>
      </c>
      <c r="N80" s="9" t="s">
        <v>39</v>
      </c>
      <c r="O80" s="9" t="s">
        <v>16</v>
      </c>
      <c r="P80" s="9">
        <v>1335</v>
      </c>
      <c r="Q80" s="9">
        <v>259</v>
      </c>
      <c r="R80" s="8" t="s">
        <v>17</v>
      </c>
      <c r="S80" s="11">
        <v>175</v>
      </c>
      <c r="T80" s="10">
        <v>0.27</v>
      </c>
      <c r="X80" s="20"/>
      <c r="Y80" s="20"/>
    </row>
    <row r="81" spans="1:25" x14ac:dyDescent="0.3">
      <c r="A81" s="7">
        <f t="shared" si="12"/>
        <v>76</v>
      </c>
      <c r="B81" s="8">
        <v>3418</v>
      </c>
      <c r="C81" s="9" t="str">
        <f t="shared" si="10"/>
        <v>1760x85185fe3A4e36079818Ba1d12705A9B6898996810xa60AdD2af71a4f50b3F94509E71a1e9DbDeA5dDa1986186unidade2180027</v>
      </c>
      <c r="D81" s="13" t="s">
        <v>142</v>
      </c>
      <c r="E81" s="8" t="s">
        <v>543</v>
      </c>
      <c r="F81" s="8">
        <f t="shared" si="13"/>
        <v>0</v>
      </c>
      <c r="G81" s="8">
        <f t="shared" si="13"/>
        <v>0</v>
      </c>
      <c r="H81" s="8">
        <f t="shared" si="13"/>
        <v>0</v>
      </c>
      <c r="I81" s="8">
        <f t="shared" si="13"/>
        <v>1</v>
      </c>
      <c r="J81" s="8">
        <f t="shared" si="14"/>
        <v>0</v>
      </c>
      <c r="K81" s="15">
        <v>8.6805555474711582E-4</v>
      </c>
      <c r="M81" s="8">
        <f t="shared" si="11"/>
        <v>176</v>
      </c>
      <c r="N81" s="9" t="s">
        <v>40</v>
      </c>
      <c r="O81" s="9" t="s">
        <v>16</v>
      </c>
      <c r="P81" s="9">
        <v>1986</v>
      </c>
      <c r="Q81" s="9">
        <v>186</v>
      </c>
      <c r="R81" s="8" t="s">
        <v>17</v>
      </c>
      <c r="S81" s="11">
        <v>218</v>
      </c>
      <c r="T81" s="10">
        <v>0.27</v>
      </c>
      <c r="X81" s="20"/>
      <c r="Y81" s="20"/>
    </row>
    <row r="82" spans="1:25" x14ac:dyDescent="0.3">
      <c r="A82" s="7">
        <f t="shared" si="12"/>
        <v>77</v>
      </c>
      <c r="B82" s="8">
        <v>31742</v>
      </c>
      <c r="C82" s="9" t="str">
        <f t="shared" si="10"/>
        <v>1770x85185fe3A4e36079818Ba1d12705A9B6898996820xa60AdD2af71a4f50b3F94509E71a1e9DbDeA5dDa1004303unidade1660027</v>
      </c>
      <c r="D82" s="13" t="s">
        <v>143</v>
      </c>
      <c r="E82" s="8" t="s">
        <v>544</v>
      </c>
      <c r="F82" s="8">
        <f t="shared" si="13"/>
        <v>0</v>
      </c>
      <c r="G82" s="8">
        <f t="shared" si="13"/>
        <v>0</v>
      </c>
      <c r="H82" s="8">
        <f t="shared" si="13"/>
        <v>0</v>
      </c>
      <c r="I82" s="8">
        <f t="shared" si="13"/>
        <v>4</v>
      </c>
      <c r="J82" s="8">
        <f t="shared" si="14"/>
        <v>0</v>
      </c>
      <c r="K82" s="15">
        <v>8.1712962928577326E-3</v>
      </c>
      <c r="M82" s="8">
        <f t="shared" si="11"/>
        <v>177</v>
      </c>
      <c r="N82" s="9" t="s">
        <v>41</v>
      </c>
      <c r="O82" s="9" t="s">
        <v>16</v>
      </c>
      <c r="P82" s="9">
        <v>1004</v>
      </c>
      <c r="Q82" s="9">
        <v>303</v>
      </c>
      <c r="R82" s="8" t="s">
        <v>17</v>
      </c>
      <c r="S82" s="11">
        <v>166</v>
      </c>
      <c r="T82" s="10">
        <v>0.27</v>
      </c>
      <c r="X82" s="20"/>
      <c r="Y82" s="20"/>
    </row>
    <row r="83" spans="1:25" x14ac:dyDescent="0.3">
      <c r="A83" s="7">
        <f t="shared" si="12"/>
        <v>78</v>
      </c>
      <c r="B83" s="8">
        <v>1634</v>
      </c>
      <c r="C83" s="9" t="str">
        <f t="shared" si="10"/>
        <v>1780x85185fe3A4e36079818Ba1d12705A9B6898996830xa60AdD2af71a4f50b3F94509E71a1e9DbDeA5dDa1196195unidade2000027</v>
      </c>
      <c r="D83" s="13" t="s">
        <v>144</v>
      </c>
      <c r="E83" s="8" t="s">
        <v>545</v>
      </c>
      <c r="F83" s="8">
        <f t="shared" si="13"/>
        <v>0</v>
      </c>
      <c r="G83" s="8">
        <f t="shared" si="13"/>
        <v>0</v>
      </c>
      <c r="H83" s="8">
        <f t="shared" si="13"/>
        <v>0</v>
      </c>
      <c r="I83" s="8">
        <f t="shared" si="13"/>
        <v>4</v>
      </c>
      <c r="J83" s="8">
        <f t="shared" si="14"/>
        <v>0</v>
      </c>
      <c r="K83" s="15">
        <v>4.1666666948003694E-4</v>
      </c>
      <c r="M83" s="8">
        <f t="shared" si="11"/>
        <v>178</v>
      </c>
      <c r="N83" s="9" t="s">
        <v>42</v>
      </c>
      <c r="O83" s="9" t="s">
        <v>16</v>
      </c>
      <c r="P83" s="9">
        <v>1196</v>
      </c>
      <c r="Q83" s="9">
        <v>195</v>
      </c>
      <c r="R83" s="8" t="s">
        <v>17</v>
      </c>
      <c r="S83" s="11">
        <v>200</v>
      </c>
      <c r="T83" s="10">
        <v>0.27</v>
      </c>
      <c r="X83" s="20"/>
      <c r="Y83" s="20"/>
    </row>
    <row r="84" spans="1:25" x14ac:dyDescent="0.3">
      <c r="A84" s="7">
        <f t="shared" si="12"/>
        <v>79</v>
      </c>
      <c r="B84" s="8">
        <v>3171</v>
      </c>
      <c r="C84" s="9" t="str">
        <f t="shared" si="10"/>
        <v>1790x85185fe3A4e36079818Ba1d12705A9B6898996840xa60AdD2af71a4f50b3F94509E71a1e9DbDeA5dDa1079472unidade1960027</v>
      </c>
      <c r="D84" s="13" t="s">
        <v>145</v>
      </c>
      <c r="E84" s="8" t="s">
        <v>546</v>
      </c>
      <c r="F84" s="8">
        <f t="shared" si="13"/>
        <v>0</v>
      </c>
      <c r="G84" s="8">
        <f t="shared" si="13"/>
        <v>0</v>
      </c>
      <c r="H84" s="8">
        <f t="shared" si="13"/>
        <v>0</v>
      </c>
      <c r="I84" s="8">
        <f t="shared" si="13"/>
        <v>4</v>
      </c>
      <c r="J84" s="8">
        <f t="shared" si="14"/>
        <v>0</v>
      </c>
      <c r="K84" s="15">
        <v>8.3333333168411627E-4</v>
      </c>
      <c r="M84" s="8">
        <f t="shared" si="11"/>
        <v>179</v>
      </c>
      <c r="N84" s="9" t="s">
        <v>43</v>
      </c>
      <c r="O84" s="9" t="s">
        <v>16</v>
      </c>
      <c r="P84" s="9">
        <v>1079</v>
      </c>
      <c r="Q84" s="9">
        <v>472</v>
      </c>
      <c r="R84" s="8" t="s">
        <v>17</v>
      </c>
      <c r="S84" s="11">
        <v>196</v>
      </c>
      <c r="T84" s="10">
        <v>0.27</v>
      </c>
      <c r="X84" s="20"/>
      <c r="Y84" s="20"/>
    </row>
    <row r="85" spans="1:25" x14ac:dyDescent="0.3">
      <c r="A85" s="7">
        <f t="shared" si="12"/>
        <v>80</v>
      </c>
      <c r="B85" s="8">
        <v>277</v>
      </c>
      <c r="C85" s="9" t="str">
        <f t="shared" si="10"/>
        <v>1800x85185fe3A4e36079818Ba1d12705A9B6898996850xa60AdD2af71a4f50b3F94509E71a1e9DbDeA5dDa1057400unidade580027</v>
      </c>
      <c r="D85" s="13" t="s">
        <v>146</v>
      </c>
      <c r="E85" s="8" t="s">
        <v>547</v>
      </c>
      <c r="F85" s="8">
        <f t="shared" si="13"/>
        <v>0</v>
      </c>
      <c r="G85" s="8">
        <f t="shared" si="13"/>
        <v>0</v>
      </c>
      <c r="H85" s="8">
        <f t="shared" si="13"/>
        <v>0</v>
      </c>
      <c r="I85" s="8">
        <f t="shared" si="13"/>
        <v>1</v>
      </c>
      <c r="J85" s="8">
        <f t="shared" si="14"/>
        <v>0</v>
      </c>
      <c r="K85" s="15">
        <v>8.101852290565148E-5</v>
      </c>
      <c r="M85" s="8">
        <f t="shared" si="11"/>
        <v>180</v>
      </c>
      <c r="N85" s="9" t="s">
        <v>44</v>
      </c>
      <c r="O85" s="9" t="s">
        <v>16</v>
      </c>
      <c r="P85" s="9">
        <v>1057</v>
      </c>
      <c r="Q85" s="9">
        <v>400</v>
      </c>
      <c r="R85" s="8" t="s">
        <v>17</v>
      </c>
      <c r="S85" s="11">
        <v>58</v>
      </c>
      <c r="T85" s="10">
        <v>0.27</v>
      </c>
      <c r="X85" s="20"/>
      <c r="Y85" s="20"/>
    </row>
    <row r="86" spans="1:25" x14ac:dyDescent="0.3">
      <c r="A86" s="7">
        <f t="shared" si="12"/>
        <v>81</v>
      </c>
      <c r="B86" s="8">
        <v>8328</v>
      </c>
      <c r="C86" s="9" t="str">
        <f t="shared" si="10"/>
        <v>1810x85185fe3A4e36079818Ba1d12705A9B6898996860xa60AdD2af71a4f50b3F94509E71a1e9DbDeA5dDa1088351unidade2400027</v>
      </c>
      <c r="D86" s="13" t="s">
        <v>147</v>
      </c>
      <c r="E86" s="8" t="s">
        <v>548</v>
      </c>
      <c r="F86" s="8">
        <f t="shared" si="13"/>
        <v>0</v>
      </c>
      <c r="G86" s="8">
        <f t="shared" si="13"/>
        <v>0</v>
      </c>
      <c r="H86" s="8">
        <f t="shared" si="13"/>
        <v>0</v>
      </c>
      <c r="I86" s="8">
        <f t="shared" si="13"/>
        <v>1</v>
      </c>
      <c r="J86" s="8">
        <f t="shared" si="14"/>
        <v>0</v>
      </c>
      <c r="K86" s="15">
        <v>2.1296296254149638E-3</v>
      </c>
      <c r="M86" s="8">
        <f t="shared" si="11"/>
        <v>181</v>
      </c>
      <c r="N86" s="9" t="s">
        <v>45</v>
      </c>
      <c r="O86" s="9" t="s">
        <v>16</v>
      </c>
      <c r="P86" s="9">
        <v>1088</v>
      </c>
      <c r="Q86" s="9">
        <v>351</v>
      </c>
      <c r="R86" s="8" t="s">
        <v>17</v>
      </c>
      <c r="S86" s="11">
        <v>240</v>
      </c>
      <c r="T86" s="10">
        <v>0.27</v>
      </c>
      <c r="X86" s="20"/>
      <c r="Y86" s="20"/>
    </row>
    <row r="87" spans="1:25" x14ac:dyDescent="0.3">
      <c r="A87" s="7">
        <f t="shared" si="12"/>
        <v>82</v>
      </c>
      <c r="B87" s="8">
        <v>2360</v>
      </c>
      <c r="C87" s="9" t="str">
        <f t="shared" si="10"/>
        <v>1820x85185fe3A4e36079818Ba1d12705A9B6898996870xa60AdD2af71a4f50b3F94509E71a1e9DbDeA5dDa1040455unidade2370027</v>
      </c>
      <c r="D87" s="13" t="s">
        <v>148</v>
      </c>
      <c r="E87" s="8" t="s">
        <v>549</v>
      </c>
      <c r="F87" s="8">
        <f t="shared" si="13"/>
        <v>0</v>
      </c>
      <c r="G87" s="8">
        <f t="shared" si="13"/>
        <v>0</v>
      </c>
      <c r="H87" s="8">
        <f t="shared" si="13"/>
        <v>0</v>
      </c>
      <c r="I87" s="8">
        <f t="shared" si="13"/>
        <v>1</v>
      </c>
      <c r="J87" s="8">
        <f t="shared" si="14"/>
        <v>0</v>
      </c>
      <c r="K87" s="15">
        <v>6.0185185429872945E-4</v>
      </c>
      <c r="M87" s="8">
        <f t="shared" si="11"/>
        <v>182</v>
      </c>
      <c r="N87" s="9" t="s">
        <v>46</v>
      </c>
      <c r="O87" s="9" t="s">
        <v>16</v>
      </c>
      <c r="P87" s="9">
        <v>1040</v>
      </c>
      <c r="Q87" s="9">
        <v>455</v>
      </c>
      <c r="R87" s="8" t="s">
        <v>17</v>
      </c>
      <c r="S87" s="11">
        <v>237</v>
      </c>
      <c r="T87" s="10">
        <v>0.27</v>
      </c>
      <c r="X87" s="20"/>
      <c r="Y87" s="20"/>
    </row>
    <row r="88" spans="1:25" x14ac:dyDescent="0.3">
      <c r="A88" s="7">
        <f t="shared" si="12"/>
        <v>83</v>
      </c>
      <c r="B88" s="8">
        <v>414</v>
      </c>
      <c r="C88" s="9" t="str">
        <f t="shared" si="10"/>
        <v>1830x85185fe3A4e36079818Ba1d12705A9B6898996880xa60AdD2af71a4f50b3F94509E71a1e9DbDeA5dDa1389340unidade1230027</v>
      </c>
      <c r="D88" s="13" t="s">
        <v>149</v>
      </c>
      <c r="E88" s="8" t="s">
        <v>550</v>
      </c>
      <c r="F88" s="8">
        <f t="shared" si="13"/>
        <v>0</v>
      </c>
      <c r="G88" s="8">
        <f t="shared" si="13"/>
        <v>0</v>
      </c>
      <c r="H88" s="8">
        <f t="shared" si="13"/>
        <v>0</v>
      </c>
      <c r="I88" s="8">
        <f t="shared" si="13"/>
        <v>4</v>
      </c>
      <c r="J88" s="8">
        <f t="shared" si="14"/>
        <v>0</v>
      </c>
      <c r="K88" s="15">
        <v>1.0416666191304103E-4</v>
      </c>
      <c r="M88" s="8">
        <f t="shared" si="11"/>
        <v>183</v>
      </c>
      <c r="N88" s="9" t="s">
        <v>47</v>
      </c>
      <c r="O88" s="9" t="s">
        <v>16</v>
      </c>
      <c r="P88" s="9">
        <v>1389</v>
      </c>
      <c r="Q88" s="9">
        <v>340</v>
      </c>
      <c r="R88" s="8" t="s">
        <v>17</v>
      </c>
      <c r="S88" s="11">
        <v>123</v>
      </c>
      <c r="T88" s="10">
        <v>0.27</v>
      </c>
      <c r="X88" s="20"/>
      <c r="Y88" s="20"/>
    </row>
    <row r="89" spans="1:25" x14ac:dyDescent="0.3">
      <c r="A89" s="7">
        <f t="shared" si="12"/>
        <v>84</v>
      </c>
      <c r="B89" s="8">
        <v>1157</v>
      </c>
      <c r="C89" s="9" t="str">
        <f t="shared" si="10"/>
        <v>1840x85185fe3A4e36079818Ba1d12705A9B6898996890xa60AdD2af71a4f50b3F94509E71a1e9DbDeA5dDa1433262unidade690027</v>
      </c>
      <c r="D89" s="13" t="s">
        <v>150</v>
      </c>
      <c r="E89" s="8" t="s">
        <v>551</v>
      </c>
      <c r="F89" s="8">
        <f t="shared" si="13"/>
        <v>0</v>
      </c>
      <c r="G89" s="8">
        <f t="shared" si="13"/>
        <v>0</v>
      </c>
      <c r="H89" s="8">
        <f t="shared" si="13"/>
        <v>0</v>
      </c>
      <c r="I89" s="8">
        <f t="shared" si="13"/>
        <v>0</v>
      </c>
      <c r="J89" s="8">
        <f t="shared" si="14"/>
        <v>0</v>
      </c>
      <c r="K89" s="15">
        <v>3.7037037691334262E-4</v>
      </c>
      <c r="M89" s="8">
        <f t="shared" si="11"/>
        <v>184</v>
      </c>
      <c r="N89" s="9" t="s">
        <v>48</v>
      </c>
      <c r="O89" s="9" t="s">
        <v>16</v>
      </c>
      <c r="P89" s="9">
        <v>1433</v>
      </c>
      <c r="Q89" s="9">
        <v>262</v>
      </c>
      <c r="R89" s="8" t="s">
        <v>17</v>
      </c>
      <c r="S89" s="11">
        <v>69</v>
      </c>
      <c r="T89" s="10">
        <v>0.27</v>
      </c>
      <c r="X89" s="20"/>
      <c r="Y89" s="20"/>
    </row>
    <row r="90" spans="1:25" x14ac:dyDescent="0.3">
      <c r="A90" s="7">
        <f t="shared" si="12"/>
        <v>85</v>
      </c>
      <c r="B90" s="8">
        <v>6061</v>
      </c>
      <c r="C90" s="9" t="str">
        <f t="shared" si="10"/>
        <v>1850x85185fe3A4e36079818Ba1d12705A9B6898996900xa60AdD2af71a4f50b3F94509E71a1e9DbDeA5dDa1388334unidade2260027</v>
      </c>
      <c r="D90" s="13" t="s">
        <v>151</v>
      </c>
      <c r="E90" s="8" t="s">
        <v>552</v>
      </c>
      <c r="F90" s="8">
        <f t="shared" si="13"/>
        <v>0</v>
      </c>
      <c r="G90" s="8">
        <f t="shared" si="13"/>
        <v>0</v>
      </c>
      <c r="H90" s="8">
        <f t="shared" si="13"/>
        <v>0</v>
      </c>
      <c r="I90" s="8">
        <f t="shared" si="13"/>
        <v>8</v>
      </c>
      <c r="J90" s="8">
        <f t="shared" si="14"/>
        <v>0</v>
      </c>
      <c r="K90" s="15">
        <v>1.5393518478958867E-3</v>
      </c>
      <c r="M90" s="8">
        <f t="shared" si="11"/>
        <v>185</v>
      </c>
      <c r="N90" s="9" t="s">
        <v>49</v>
      </c>
      <c r="O90" s="9" t="s">
        <v>16</v>
      </c>
      <c r="P90" s="9">
        <v>1388</v>
      </c>
      <c r="Q90" s="9">
        <v>334</v>
      </c>
      <c r="R90" s="8" t="s">
        <v>17</v>
      </c>
      <c r="S90" s="11">
        <v>226</v>
      </c>
      <c r="T90" s="10">
        <v>0.27</v>
      </c>
      <c r="X90" s="20"/>
      <c r="Y90" s="20"/>
    </row>
    <row r="91" spans="1:25" x14ac:dyDescent="0.3">
      <c r="A91" s="7">
        <f t="shared" si="12"/>
        <v>86</v>
      </c>
      <c r="B91" s="8">
        <v>9316</v>
      </c>
      <c r="C91" s="9" t="str">
        <f t="shared" si="10"/>
        <v>1860x85185fe3A4e36079818Ba1d12705A9B6898996910xa60AdD2af71a4f50b3F94509E71a1e9DbDeA5dDa1447208unidade1580027</v>
      </c>
      <c r="D91" s="13" t="s">
        <v>152</v>
      </c>
      <c r="E91" s="8" t="s">
        <v>553</v>
      </c>
      <c r="F91" s="8">
        <f t="shared" si="13"/>
        <v>0</v>
      </c>
      <c r="G91" s="8">
        <f t="shared" si="13"/>
        <v>0</v>
      </c>
      <c r="H91" s="8">
        <f t="shared" si="13"/>
        <v>0</v>
      </c>
      <c r="I91" s="8">
        <f t="shared" si="13"/>
        <v>7</v>
      </c>
      <c r="J91" s="8">
        <f t="shared" si="14"/>
        <v>0</v>
      </c>
      <c r="K91" s="15">
        <v>2.3958333331393078E-3</v>
      </c>
      <c r="M91" s="8">
        <f t="shared" si="11"/>
        <v>186</v>
      </c>
      <c r="N91" s="9" t="s">
        <v>50</v>
      </c>
      <c r="O91" s="9" t="s">
        <v>16</v>
      </c>
      <c r="P91" s="9">
        <v>1447</v>
      </c>
      <c r="Q91" s="9">
        <v>208</v>
      </c>
      <c r="R91" s="8" t="s">
        <v>17</v>
      </c>
      <c r="S91" s="11">
        <v>158</v>
      </c>
      <c r="T91" s="10">
        <v>0.27</v>
      </c>
      <c r="X91" s="20"/>
      <c r="Y91" s="20"/>
    </row>
    <row r="92" spans="1:25" x14ac:dyDescent="0.3">
      <c r="A92" s="7">
        <f t="shared" si="12"/>
        <v>87</v>
      </c>
      <c r="B92" s="8">
        <v>1888</v>
      </c>
      <c r="C92" s="9" t="str">
        <f t="shared" si="10"/>
        <v>1870x85185fe3A4e36079818Ba1d12705A9B6898996920xa60AdD2af71a4f50b3F94509E71a1e9DbDeA5dDa1538427unidade2240027</v>
      </c>
      <c r="D92" s="13" t="s">
        <v>153</v>
      </c>
      <c r="E92" s="8" t="s">
        <v>554</v>
      </c>
      <c r="F92" s="8">
        <f t="shared" si="13"/>
        <v>0</v>
      </c>
      <c r="G92" s="8">
        <f t="shared" si="13"/>
        <v>0</v>
      </c>
      <c r="H92" s="8">
        <f t="shared" si="13"/>
        <v>0</v>
      </c>
      <c r="I92" s="8">
        <f t="shared" si="13"/>
        <v>8</v>
      </c>
      <c r="J92" s="8">
        <f t="shared" si="14"/>
        <v>0</v>
      </c>
      <c r="K92" s="15">
        <v>4.8611110833007842E-4</v>
      </c>
      <c r="M92" s="8">
        <f t="shared" si="11"/>
        <v>187</v>
      </c>
      <c r="N92" s="9" t="s">
        <v>51</v>
      </c>
      <c r="O92" s="9" t="s">
        <v>16</v>
      </c>
      <c r="P92" s="9">
        <v>1538</v>
      </c>
      <c r="Q92" s="9">
        <v>427</v>
      </c>
      <c r="R92" s="8" t="s">
        <v>17</v>
      </c>
      <c r="S92" s="11">
        <v>224</v>
      </c>
      <c r="T92" s="10">
        <v>0.27</v>
      </c>
      <c r="X92" s="20"/>
      <c r="Y92" s="20"/>
    </row>
    <row r="93" spans="1:25" x14ac:dyDescent="0.3">
      <c r="A93" s="7">
        <f t="shared" si="12"/>
        <v>88</v>
      </c>
      <c r="B93" s="8">
        <v>1515</v>
      </c>
      <c r="C93" s="9" t="str">
        <f t="shared" si="10"/>
        <v>1880x85185fe3A4e36079818Ba1d12705A9B6898996930xa60AdD2af71a4f50b3F94509E71a1e9DbDeA5dDa1865137unidade1770027</v>
      </c>
      <c r="D93" s="13" t="s">
        <v>154</v>
      </c>
      <c r="E93" s="8" t="s">
        <v>555</v>
      </c>
      <c r="F93" s="8">
        <f t="shared" si="13"/>
        <v>0</v>
      </c>
      <c r="G93" s="8">
        <f t="shared" si="13"/>
        <v>0</v>
      </c>
      <c r="H93" s="8">
        <f t="shared" si="13"/>
        <v>0</v>
      </c>
      <c r="I93" s="8">
        <f t="shared" si="13"/>
        <v>4</v>
      </c>
      <c r="J93" s="8">
        <f t="shared" si="14"/>
        <v>0</v>
      </c>
      <c r="K93" s="15">
        <v>3.819444464170374E-4</v>
      </c>
      <c r="M93" s="8">
        <f t="shared" si="11"/>
        <v>188</v>
      </c>
      <c r="N93" s="9" t="s">
        <v>52</v>
      </c>
      <c r="O93" s="9" t="s">
        <v>16</v>
      </c>
      <c r="P93" s="9">
        <v>1865</v>
      </c>
      <c r="Q93" s="9">
        <v>137</v>
      </c>
      <c r="R93" s="8" t="s">
        <v>17</v>
      </c>
      <c r="S93" s="11">
        <v>177</v>
      </c>
      <c r="T93" s="10">
        <v>0.27</v>
      </c>
      <c r="X93" s="20"/>
      <c r="Y93" s="20"/>
    </row>
    <row r="94" spans="1:25" x14ac:dyDescent="0.3">
      <c r="A94" s="7">
        <f t="shared" si="12"/>
        <v>89</v>
      </c>
      <c r="B94" s="8">
        <v>3312</v>
      </c>
      <c r="C94" s="9" t="str">
        <f t="shared" si="10"/>
        <v>1890x85185fe3A4e36079818Ba1d12705A9B6898996940xa60AdD2af71a4f50b3F94509E71a1e9DbDeA5dDa1231107unidade670027</v>
      </c>
      <c r="D94" s="13" t="s">
        <v>155</v>
      </c>
      <c r="E94" s="8" t="s">
        <v>556</v>
      </c>
      <c r="F94" s="8">
        <f t="shared" si="13"/>
        <v>0</v>
      </c>
      <c r="G94" s="8">
        <f t="shared" si="13"/>
        <v>0</v>
      </c>
      <c r="H94" s="8">
        <f t="shared" si="13"/>
        <v>0</v>
      </c>
      <c r="I94" s="8">
        <f t="shared" si="13"/>
        <v>2</v>
      </c>
      <c r="J94" s="8">
        <f t="shared" si="14"/>
        <v>0</v>
      </c>
      <c r="K94" s="15">
        <v>8.5648148524342105E-4</v>
      </c>
      <c r="M94" s="8">
        <f t="shared" si="11"/>
        <v>189</v>
      </c>
      <c r="N94" s="9" t="s">
        <v>53</v>
      </c>
      <c r="O94" s="9" t="s">
        <v>16</v>
      </c>
      <c r="P94" s="9">
        <v>1231</v>
      </c>
      <c r="Q94" s="9">
        <v>107</v>
      </c>
      <c r="R94" s="8" t="s">
        <v>17</v>
      </c>
      <c r="S94" s="11">
        <v>67</v>
      </c>
      <c r="T94" s="10">
        <v>0.27</v>
      </c>
      <c r="X94" s="20"/>
      <c r="Y94" s="20"/>
    </row>
    <row r="95" spans="1:25" x14ac:dyDescent="0.3">
      <c r="A95" s="7">
        <f t="shared" si="12"/>
        <v>90</v>
      </c>
      <c r="B95" s="8">
        <v>1895</v>
      </c>
      <c r="C95" s="9" t="str">
        <f t="shared" si="10"/>
        <v>1900x85185fe3A4e36079818Ba1d12705A9B6898996950xa60AdD2af71a4f50b3F94509E71a1e9DbDeA5dDa1169477unidade600027</v>
      </c>
      <c r="D95" s="13" t="s">
        <v>156</v>
      </c>
      <c r="E95" s="8" t="s">
        <v>557</v>
      </c>
      <c r="F95" s="8">
        <f t="shared" si="13"/>
        <v>0</v>
      </c>
      <c r="G95" s="8">
        <f t="shared" si="13"/>
        <v>0</v>
      </c>
      <c r="H95" s="8">
        <f t="shared" si="13"/>
        <v>0</v>
      </c>
      <c r="I95" s="8">
        <f t="shared" si="13"/>
        <v>0</v>
      </c>
      <c r="J95" s="8">
        <f t="shared" si="14"/>
        <v>0</v>
      </c>
      <c r="K95" s="15">
        <v>4.9768518510973081E-4</v>
      </c>
      <c r="M95" s="8">
        <f t="shared" si="11"/>
        <v>190</v>
      </c>
      <c r="N95" s="9" t="s">
        <v>54</v>
      </c>
      <c r="O95" s="9" t="s">
        <v>16</v>
      </c>
      <c r="P95" s="9">
        <v>1169</v>
      </c>
      <c r="Q95" s="9">
        <v>477</v>
      </c>
      <c r="R95" s="8" t="s">
        <v>17</v>
      </c>
      <c r="S95" s="11">
        <v>60</v>
      </c>
      <c r="T95" s="10">
        <v>0.27</v>
      </c>
      <c r="X95" s="20"/>
      <c r="Y95" s="20"/>
    </row>
    <row r="96" spans="1:25" x14ac:dyDescent="0.3">
      <c r="A96" s="7">
        <f t="shared" si="12"/>
        <v>91</v>
      </c>
      <c r="B96" s="8">
        <v>866</v>
      </c>
      <c r="C96" s="9" t="str">
        <f t="shared" si="10"/>
        <v>1910x85185fe3A4e36079818Ba1d12705A9B6898996960xa60AdD2af71a4f50b3F94509E71a1e9DbDeA5dDa1906126unidade1350027</v>
      </c>
      <c r="D96" s="13" t="s">
        <v>157</v>
      </c>
      <c r="E96" s="8" t="s">
        <v>558</v>
      </c>
      <c r="F96" s="8">
        <f t="shared" si="13"/>
        <v>0</v>
      </c>
      <c r="G96" s="8">
        <f t="shared" si="13"/>
        <v>0</v>
      </c>
      <c r="H96" s="8">
        <f t="shared" si="13"/>
        <v>0</v>
      </c>
      <c r="I96" s="8">
        <f t="shared" si="13"/>
        <v>3</v>
      </c>
      <c r="J96" s="8">
        <f t="shared" si="14"/>
        <v>0</v>
      </c>
      <c r="K96" s="15">
        <v>2.1990740788169205E-4</v>
      </c>
      <c r="M96" s="8">
        <f t="shared" si="11"/>
        <v>191</v>
      </c>
      <c r="N96" s="9" t="s">
        <v>55</v>
      </c>
      <c r="O96" s="9" t="s">
        <v>16</v>
      </c>
      <c r="P96" s="9">
        <v>1906</v>
      </c>
      <c r="Q96" s="9">
        <v>126</v>
      </c>
      <c r="R96" s="8" t="s">
        <v>17</v>
      </c>
      <c r="S96" s="11">
        <v>135</v>
      </c>
      <c r="T96" s="10">
        <v>0.27</v>
      </c>
      <c r="X96" s="20"/>
      <c r="Y96" s="20"/>
    </row>
    <row r="97" spans="1:25" x14ac:dyDescent="0.3">
      <c r="A97" s="7">
        <f t="shared" si="12"/>
        <v>92</v>
      </c>
      <c r="B97" s="8">
        <v>7006</v>
      </c>
      <c r="C97" s="9" t="str">
        <f t="shared" si="10"/>
        <v>1920x85185fe3A4e36079818Ba1d12705A9B6898996970xa60AdD2af71a4f50b3F94509E71a1e9DbDeA5dDa1610429unidade670027</v>
      </c>
      <c r="D97" s="13" t="s">
        <v>158</v>
      </c>
      <c r="E97" s="8" t="s">
        <v>559</v>
      </c>
      <c r="F97" s="8">
        <f t="shared" si="13"/>
        <v>0</v>
      </c>
      <c r="G97" s="8">
        <f t="shared" si="13"/>
        <v>0</v>
      </c>
      <c r="H97" s="8">
        <f t="shared" si="13"/>
        <v>0</v>
      </c>
      <c r="I97" s="8">
        <f t="shared" si="13"/>
        <v>5</v>
      </c>
      <c r="J97" s="8">
        <f t="shared" si="14"/>
        <v>0</v>
      </c>
      <c r="K97" s="15">
        <v>1.782407402060926E-3</v>
      </c>
      <c r="M97" s="8">
        <f t="shared" si="11"/>
        <v>192</v>
      </c>
      <c r="N97" s="9" t="s">
        <v>56</v>
      </c>
      <c r="O97" s="9" t="s">
        <v>16</v>
      </c>
      <c r="P97" s="9">
        <v>1610</v>
      </c>
      <c r="Q97" s="9">
        <v>429</v>
      </c>
      <c r="R97" s="8" t="s">
        <v>17</v>
      </c>
      <c r="S97" s="11">
        <v>67</v>
      </c>
      <c r="T97" s="10">
        <v>0.27</v>
      </c>
      <c r="X97" s="20"/>
      <c r="Y97" s="20"/>
    </row>
    <row r="98" spans="1:25" x14ac:dyDescent="0.3">
      <c r="A98" s="7">
        <f t="shared" si="12"/>
        <v>93</v>
      </c>
      <c r="B98" s="8">
        <v>529</v>
      </c>
      <c r="C98" s="9" t="str">
        <f t="shared" si="10"/>
        <v>1930x85185fe3A4e36079818Ba1d12705A9B6898996980xa60AdD2af71a4f50b3F94509E71a1e9DbDeA5dDa1853132unidade2370027</v>
      </c>
      <c r="D98" s="13" t="s">
        <v>159</v>
      </c>
      <c r="E98" s="8" t="s">
        <v>560</v>
      </c>
      <c r="F98" s="8">
        <f t="shared" si="13"/>
        <v>0</v>
      </c>
      <c r="G98" s="8">
        <f t="shared" si="13"/>
        <v>0</v>
      </c>
      <c r="H98" s="8">
        <f t="shared" si="13"/>
        <v>0</v>
      </c>
      <c r="I98" s="8">
        <f t="shared" si="13"/>
        <v>1</v>
      </c>
      <c r="J98" s="8">
        <f t="shared" si="14"/>
        <v>0</v>
      </c>
      <c r="K98" s="15">
        <v>1.3888889225199819E-4</v>
      </c>
      <c r="M98" s="8">
        <f t="shared" si="11"/>
        <v>193</v>
      </c>
      <c r="N98" s="9" t="s">
        <v>57</v>
      </c>
      <c r="O98" s="9" t="s">
        <v>16</v>
      </c>
      <c r="P98" s="9">
        <v>1853</v>
      </c>
      <c r="Q98" s="9">
        <v>132</v>
      </c>
      <c r="R98" s="8" t="s">
        <v>17</v>
      </c>
      <c r="S98" s="11">
        <v>237</v>
      </c>
      <c r="T98" s="10">
        <v>0.27</v>
      </c>
      <c r="X98" s="20"/>
      <c r="Y98" s="20"/>
    </row>
    <row r="99" spans="1:25" x14ac:dyDescent="0.3">
      <c r="A99" s="7">
        <f t="shared" si="12"/>
        <v>94</v>
      </c>
      <c r="B99" s="8">
        <v>513</v>
      </c>
      <c r="C99" s="9" t="str">
        <f t="shared" si="10"/>
        <v>1940x85185fe3A4e36079818Ba1d12705A9B6898996990xa60AdD2af71a4f50b3F94509E71a1e9DbDeA5dDa1082296unidade2250027</v>
      </c>
      <c r="D99" s="13" t="s">
        <v>160</v>
      </c>
      <c r="E99" s="8" t="s">
        <v>561</v>
      </c>
      <c r="F99" s="8">
        <f t="shared" si="13"/>
        <v>0</v>
      </c>
      <c r="G99" s="8">
        <f t="shared" si="13"/>
        <v>0</v>
      </c>
      <c r="H99" s="8">
        <f t="shared" si="13"/>
        <v>0</v>
      </c>
      <c r="I99" s="8">
        <f t="shared" si="13"/>
        <v>9</v>
      </c>
      <c r="J99" s="8">
        <f t="shared" si="14"/>
        <v>0</v>
      </c>
      <c r="K99" s="15">
        <v>1.2731480819638819E-4</v>
      </c>
      <c r="M99" s="8">
        <f t="shared" si="11"/>
        <v>194</v>
      </c>
      <c r="N99" s="9" t="s">
        <v>58</v>
      </c>
      <c r="O99" s="9" t="s">
        <v>16</v>
      </c>
      <c r="P99" s="9">
        <v>1082</v>
      </c>
      <c r="Q99" s="9">
        <v>296</v>
      </c>
      <c r="R99" s="8" t="s">
        <v>17</v>
      </c>
      <c r="S99" s="11">
        <v>225</v>
      </c>
      <c r="T99" s="10">
        <v>0.27</v>
      </c>
      <c r="X99" s="20"/>
      <c r="Y99" s="20"/>
    </row>
    <row r="100" spans="1:25" x14ac:dyDescent="0.3">
      <c r="A100" s="7">
        <f t="shared" si="12"/>
        <v>95</v>
      </c>
      <c r="B100" s="8">
        <v>870</v>
      </c>
      <c r="C100" s="9" t="str">
        <f t="shared" si="10"/>
        <v>1950x85185fe3A4e36079818Ba1d12705A9B6898997000xa60AdD2af71a4f50b3F94509E71a1e9DbDeA5dDa1855427unidade660027</v>
      </c>
      <c r="D100" s="13" t="s">
        <v>161</v>
      </c>
      <c r="E100" s="8" t="s">
        <v>562</v>
      </c>
      <c r="F100" s="8">
        <f t="shared" si="13"/>
        <v>0</v>
      </c>
      <c r="G100" s="8">
        <f t="shared" si="13"/>
        <v>0</v>
      </c>
      <c r="H100" s="8">
        <f t="shared" si="13"/>
        <v>0</v>
      </c>
      <c r="I100" s="8">
        <f t="shared" si="13"/>
        <v>4</v>
      </c>
      <c r="J100" s="8">
        <f t="shared" si="14"/>
        <v>0</v>
      </c>
      <c r="K100" s="15">
        <v>2.1990740788169205E-4</v>
      </c>
      <c r="M100" s="8">
        <f t="shared" si="11"/>
        <v>195</v>
      </c>
      <c r="N100" s="9" t="s">
        <v>59</v>
      </c>
      <c r="O100" s="9" t="s">
        <v>16</v>
      </c>
      <c r="P100" s="9">
        <v>1855</v>
      </c>
      <c r="Q100" s="9">
        <v>427</v>
      </c>
      <c r="R100" s="8" t="s">
        <v>17</v>
      </c>
      <c r="S100" s="11">
        <v>66</v>
      </c>
      <c r="T100" s="10">
        <v>0.27</v>
      </c>
      <c r="X100" s="20"/>
      <c r="Y100" s="20"/>
    </row>
    <row r="101" spans="1:25" x14ac:dyDescent="0.3">
      <c r="A101" s="7">
        <f t="shared" si="12"/>
        <v>96</v>
      </c>
      <c r="B101" s="8">
        <v>6481</v>
      </c>
      <c r="C101" s="9" t="str">
        <f t="shared" si="10"/>
        <v>1960x85185fe3A4e36079818Ba1d12705A9B6898997010xa60AdD2af71a4f50b3F94509E71a1e9DbDeA5dDa1744130unidade830027</v>
      </c>
      <c r="D101" s="13" t="s">
        <v>162</v>
      </c>
      <c r="E101" s="8" t="s">
        <v>563</v>
      </c>
      <c r="F101" s="8">
        <f t="shared" si="13"/>
        <v>0</v>
      </c>
      <c r="G101" s="8">
        <f t="shared" si="13"/>
        <v>0</v>
      </c>
      <c r="H101" s="8">
        <f t="shared" si="13"/>
        <v>0</v>
      </c>
      <c r="I101" s="8">
        <f t="shared" si="13"/>
        <v>3</v>
      </c>
      <c r="J101" s="8">
        <f t="shared" si="14"/>
        <v>0</v>
      </c>
      <c r="K101" s="15">
        <v>1.6666666706441902E-3</v>
      </c>
      <c r="M101" s="8">
        <f t="shared" si="11"/>
        <v>196</v>
      </c>
      <c r="N101" s="9" t="s">
        <v>60</v>
      </c>
      <c r="O101" s="9" t="s">
        <v>16</v>
      </c>
      <c r="P101" s="9">
        <v>1744</v>
      </c>
      <c r="Q101" s="9">
        <v>130</v>
      </c>
      <c r="R101" s="8" t="s">
        <v>17</v>
      </c>
      <c r="S101" s="11">
        <v>83</v>
      </c>
      <c r="T101" s="10">
        <v>0.27</v>
      </c>
      <c r="X101" s="20"/>
      <c r="Y101" s="20"/>
    </row>
    <row r="102" spans="1:25" x14ac:dyDescent="0.3">
      <c r="A102" s="7">
        <f t="shared" si="12"/>
        <v>97</v>
      </c>
      <c r="B102" s="8">
        <v>6125</v>
      </c>
      <c r="C102" s="9" t="str">
        <f t="shared" si="10"/>
        <v>1970x85185fe3A4e36079818Ba1d12705A9B6898997020xa60AdD2af71a4f50b3F94509E71a1e9DbDeA5dDa1471322unidade1100027</v>
      </c>
      <c r="D102" s="13" t="s">
        <v>163</v>
      </c>
      <c r="E102" s="8" t="s">
        <v>564</v>
      </c>
      <c r="F102" s="8">
        <f t="shared" si="13"/>
        <v>0</v>
      </c>
      <c r="G102" s="8">
        <f t="shared" si="13"/>
        <v>0</v>
      </c>
      <c r="H102" s="8">
        <f t="shared" si="13"/>
        <v>0</v>
      </c>
      <c r="I102" s="8">
        <f t="shared" si="13"/>
        <v>1</v>
      </c>
      <c r="J102" s="8">
        <f t="shared" si="14"/>
        <v>0</v>
      </c>
      <c r="K102" s="15">
        <v>1.5740740709588863E-3</v>
      </c>
      <c r="M102" s="8">
        <f t="shared" si="11"/>
        <v>197</v>
      </c>
      <c r="N102" s="9" t="s">
        <v>61</v>
      </c>
      <c r="O102" s="9" t="s">
        <v>16</v>
      </c>
      <c r="P102" s="9">
        <v>1471</v>
      </c>
      <c r="Q102" s="9">
        <v>322</v>
      </c>
      <c r="R102" s="8" t="s">
        <v>17</v>
      </c>
      <c r="S102" s="11">
        <v>110</v>
      </c>
      <c r="T102" s="10">
        <v>0.27</v>
      </c>
      <c r="X102" s="20"/>
      <c r="Y102" s="20"/>
    </row>
    <row r="103" spans="1:25" x14ac:dyDescent="0.3">
      <c r="A103" s="7">
        <f t="shared" si="12"/>
        <v>98</v>
      </c>
      <c r="B103" s="8">
        <v>2703</v>
      </c>
      <c r="C103" s="9" t="str">
        <f t="shared" si="10"/>
        <v>1980x85185fe3A4e36079818Ba1d12705A9B6898997030xa60AdD2af71a4f50b3F94509E71a1e9DbDeA5dDa1143308unidade870027</v>
      </c>
      <c r="D103" s="13" t="s">
        <v>164</v>
      </c>
      <c r="E103" s="8" t="s">
        <v>565</v>
      </c>
      <c r="F103" s="8">
        <f t="shared" si="13"/>
        <v>0</v>
      </c>
      <c r="G103" s="8">
        <f t="shared" si="13"/>
        <v>0</v>
      </c>
      <c r="H103" s="8">
        <f t="shared" si="13"/>
        <v>0</v>
      </c>
      <c r="I103" s="8">
        <f t="shared" si="13"/>
        <v>7</v>
      </c>
      <c r="J103" s="8">
        <f t="shared" si="14"/>
        <v>0</v>
      </c>
      <c r="K103" s="15">
        <v>6.8287036992842332E-4</v>
      </c>
      <c r="M103" s="8">
        <f t="shared" si="11"/>
        <v>198</v>
      </c>
      <c r="N103" s="9" t="s">
        <v>62</v>
      </c>
      <c r="O103" s="9" t="s">
        <v>16</v>
      </c>
      <c r="P103" s="9">
        <v>1143</v>
      </c>
      <c r="Q103" s="9">
        <v>308</v>
      </c>
      <c r="R103" s="8" t="s">
        <v>17</v>
      </c>
      <c r="S103" s="11">
        <v>87</v>
      </c>
      <c r="T103" s="10">
        <v>0.27</v>
      </c>
      <c r="X103" s="20"/>
    </row>
    <row r="104" spans="1:25" x14ac:dyDescent="0.3">
      <c r="A104" s="7">
        <f t="shared" si="12"/>
        <v>99</v>
      </c>
      <c r="B104" s="8">
        <v>1584</v>
      </c>
      <c r="C104" s="9" t="str">
        <f t="shared" si="10"/>
        <v>1990x85185fe3A4e36079818Ba1d12705A9B6898997040xa60AdD2af71a4f50b3F94509E71a1e9DbDeA5dDa1674244unidade1300027</v>
      </c>
      <c r="D104" s="13" t="s">
        <v>165</v>
      </c>
      <c r="E104" s="8" t="s">
        <v>566</v>
      </c>
      <c r="F104" s="8">
        <f t="shared" si="13"/>
        <v>0</v>
      </c>
      <c r="G104" s="8">
        <f t="shared" si="13"/>
        <v>0</v>
      </c>
      <c r="H104" s="8">
        <f t="shared" si="13"/>
        <v>0</v>
      </c>
      <c r="I104" s="8">
        <f t="shared" si="13"/>
        <v>3</v>
      </c>
      <c r="J104" s="8">
        <f t="shared" si="14"/>
        <v>0</v>
      </c>
      <c r="K104" s="15">
        <v>4.0509259270038456E-4</v>
      </c>
      <c r="M104" s="8">
        <f t="shared" si="11"/>
        <v>199</v>
      </c>
      <c r="N104" s="9" t="s">
        <v>63</v>
      </c>
      <c r="O104" s="9" t="s">
        <v>16</v>
      </c>
      <c r="P104" s="9">
        <v>1674</v>
      </c>
      <c r="Q104" s="9">
        <v>244</v>
      </c>
      <c r="R104" s="8" t="s">
        <v>17</v>
      </c>
      <c r="S104" s="11">
        <v>130</v>
      </c>
      <c r="T104" s="10">
        <v>0.27</v>
      </c>
      <c r="X104" s="20"/>
    </row>
    <row r="105" spans="1:25" x14ac:dyDescent="0.3">
      <c r="A105" s="7">
        <f t="shared" ref="A105" si="15">1+A104</f>
        <v>100</v>
      </c>
      <c r="B105" s="8">
        <v>5484</v>
      </c>
      <c r="C105" s="9" t="str">
        <f t="shared" si="10"/>
        <v>2000x85185fe3A4e36079818Ba1d12705A9B6898997040xa60AdD2af71a4f50b3F94509E71a1e9DbDeA5dDa1211102unidade1830027</v>
      </c>
      <c r="D105" s="13" t="s">
        <v>166</v>
      </c>
      <c r="E105" s="8" t="s">
        <v>567</v>
      </c>
      <c r="F105" s="8">
        <f t="shared" si="13"/>
        <v>0</v>
      </c>
      <c r="G105" s="8">
        <f t="shared" si="13"/>
        <v>0</v>
      </c>
      <c r="H105" s="8">
        <f t="shared" si="13"/>
        <v>0</v>
      </c>
      <c r="I105" s="8">
        <f t="shared" si="13"/>
        <v>3</v>
      </c>
      <c r="J105" s="8">
        <f t="shared" si="14"/>
        <v>0</v>
      </c>
      <c r="K105" s="15">
        <v>1.4467592627624981E-3</v>
      </c>
      <c r="M105" s="8">
        <f t="shared" si="11"/>
        <v>200</v>
      </c>
      <c r="N105" s="9" t="s">
        <v>63</v>
      </c>
      <c r="O105" s="9" t="s">
        <v>16</v>
      </c>
      <c r="P105" s="9">
        <v>1211</v>
      </c>
      <c r="Q105" s="9">
        <v>102</v>
      </c>
      <c r="R105" s="8" t="s">
        <v>17</v>
      </c>
      <c r="S105" s="11">
        <v>183</v>
      </c>
      <c r="T105" s="10">
        <v>0.27</v>
      </c>
      <c r="X105" s="20"/>
    </row>
    <row r="106" spans="1:25" x14ac:dyDescent="0.3">
      <c r="A106" s="7">
        <f t="shared" si="12"/>
        <v>101</v>
      </c>
      <c r="B106" s="8">
        <v>6815</v>
      </c>
      <c r="C106" s="9" t="str">
        <f t="shared" ref="C106:C169" si="16">M106&amp;N106&amp;O106&amp;P106&amp;Q106&amp;R106&amp;(S106*100)&amp;(T106*100)</f>
        <v>2010x85185fe3A4e36079818Ba1d12705A9B6898997040xa60AdD2af71a4f50b3F94509E71a1e9DbDeA5dDa1441281unidade1350027</v>
      </c>
      <c r="D106" s="13" t="s">
        <v>168</v>
      </c>
      <c r="E106" s="8" t="s">
        <v>568</v>
      </c>
      <c r="F106" s="8">
        <f t="shared" si="13"/>
        <v>0</v>
      </c>
      <c r="G106" s="8">
        <f t="shared" si="13"/>
        <v>0</v>
      </c>
      <c r="H106" s="8">
        <f t="shared" si="13"/>
        <v>0</v>
      </c>
      <c r="I106" s="8">
        <f t="shared" si="13"/>
        <v>1</v>
      </c>
      <c r="J106" s="8">
        <f t="shared" ref="J106:J169" si="17">SUM(F106:H106)</f>
        <v>0</v>
      </c>
      <c r="K106" s="15">
        <v>1.747685186273884E-3</v>
      </c>
      <c r="M106" s="8">
        <f t="shared" si="11"/>
        <v>201</v>
      </c>
      <c r="N106" s="9" t="s">
        <v>63</v>
      </c>
      <c r="O106" s="9" t="s">
        <v>16</v>
      </c>
      <c r="P106" s="9">
        <v>1441</v>
      </c>
      <c r="Q106" s="9">
        <v>281</v>
      </c>
      <c r="R106" s="8" t="s">
        <v>17</v>
      </c>
      <c r="S106" s="11">
        <v>135</v>
      </c>
      <c r="T106" s="10">
        <v>0.27</v>
      </c>
      <c r="X106" s="20"/>
    </row>
    <row r="107" spans="1:25" x14ac:dyDescent="0.3">
      <c r="A107" s="7">
        <f t="shared" si="12"/>
        <v>102</v>
      </c>
      <c r="B107" s="8">
        <v>378</v>
      </c>
      <c r="C107" s="9" t="str">
        <f t="shared" si="16"/>
        <v>2020x85185fe3A4e36079818Ba1d12705A9B6898997040xa60AdD2af71a4f50b3F94509E71a1e9DbDeA5dDa1110243unidade1460027</v>
      </c>
      <c r="D107" s="13" t="s">
        <v>169</v>
      </c>
      <c r="E107" s="8" t="s">
        <v>569</v>
      </c>
      <c r="F107" s="8">
        <f t="shared" ref="F107:I170" si="18">IFERROR(VALUE(MID($E107,F$1,1)),1)</f>
        <v>0</v>
      </c>
      <c r="G107" s="8">
        <f t="shared" si="18"/>
        <v>0</v>
      </c>
      <c r="H107" s="8">
        <f t="shared" si="18"/>
        <v>0</v>
      </c>
      <c r="I107" s="8">
        <f t="shared" si="18"/>
        <v>1</v>
      </c>
      <c r="J107" s="8">
        <f t="shared" si="17"/>
        <v>0</v>
      </c>
      <c r="K107" s="15">
        <v>9.2592592409346253E-5</v>
      </c>
      <c r="M107" s="8">
        <f t="shared" si="11"/>
        <v>202</v>
      </c>
      <c r="N107" s="9" t="s">
        <v>63</v>
      </c>
      <c r="O107" s="9" t="s">
        <v>16</v>
      </c>
      <c r="P107" s="9">
        <v>1110</v>
      </c>
      <c r="Q107" s="9">
        <v>243</v>
      </c>
      <c r="R107" s="8" t="s">
        <v>17</v>
      </c>
      <c r="S107" s="11">
        <v>146</v>
      </c>
      <c r="T107" s="10">
        <v>0.27</v>
      </c>
      <c r="X107" s="20"/>
    </row>
    <row r="108" spans="1:25" x14ac:dyDescent="0.3">
      <c r="A108" s="7">
        <f t="shared" si="12"/>
        <v>103</v>
      </c>
      <c r="B108" s="8">
        <v>4591</v>
      </c>
      <c r="C108" s="9" t="str">
        <f t="shared" si="16"/>
        <v>2030x85185fe3A4e36079818Ba1d12705A9B6898997040xa60AdD2af71a4f50b3F94509E71a1e9DbDeA5dDa1819425unidade1700027</v>
      </c>
      <c r="D108" s="13" t="s">
        <v>170</v>
      </c>
      <c r="E108" s="8" t="s">
        <v>570</v>
      </c>
      <c r="F108" s="8">
        <f t="shared" si="18"/>
        <v>0</v>
      </c>
      <c r="G108" s="8">
        <f t="shared" si="18"/>
        <v>0</v>
      </c>
      <c r="H108" s="8">
        <f t="shared" si="18"/>
        <v>0</v>
      </c>
      <c r="I108" s="8">
        <f t="shared" si="18"/>
        <v>5</v>
      </c>
      <c r="J108" s="8">
        <f t="shared" si="17"/>
        <v>0</v>
      </c>
      <c r="K108" s="15">
        <v>1.1921296245418489E-3</v>
      </c>
      <c r="M108" s="8">
        <f t="shared" si="11"/>
        <v>203</v>
      </c>
      <c r="N108" s="9" t="s">
        <v>63</v>
      </c>
      <c r="O108" s="9" t="s">
        <v>16</v>
      </c>
      <c r="P108" s="9">
        <v>1819</v>
      </c>
      <c r="Q108" s="9">
        <v>425</v>
      </c>
      <c r="R108" s="8" t="s">
        <v>17</v>
      </c>
      <c r="S108" s="11">
        <v>170</v>
      </c>
      <c r="T108" s="10">
        <v>0.27</v>
      </c>
      <c r="X108" s="20"/>
    </row>
    <row r="109" spans="1:25" x14ac:dyDescent="0.3">
      <c r="A109" s="7">
        <f t="shared" si="12"/>
        <v>104</v>
      </c>
      <c r="B109" s="8">
        <v>5950</v>
      </c>
      <c r="C109" s="9" t="str">
        <f t="shared" si="16"/>
        <v>2040x85185fe3A4e36079818Ba1d12705A9B6898997040xa60AdD2af71a4f50b3F94509E71a1e9DbDeA5dDa1512117unidade530027</v>
      </c>
      <c r="D109" s="13" t="s">
        <v>171</v>
      </c>
      <c r="E109" s="8" t="s">
        <v>571</v>
      </c>
      <c r="F109" s="8">
        <f t="shared" si="18"/>
        <v>0</v>
      </c>
      <c r="G109" s="8">
        <f t="shared" si="18"/>
        <v>0</v>
      </c>
      <c r="H109" s="8">
        <f t="shared" si="18"/>
        <v>0</v>
      </c>
      <c r="I109" s="8">
        <f t="shared" si="18"/>
        <v>7</v>
      </c>
      <c r="J109" s="8">
        <f t="shared" si="17"/>
        <v>0</v>
      </c>
      <c r="K109" s="15">
        <v>1.5162037088884972E-3</v>
      </c>
      <c r="M109" s="8">
        <f t="shared" si="11"/>
        <v>204</v>
      </c>
      <c r="N109" s="9" t="s">
        <v>63</v>
      </c>
      <c r="O109" s="9" t="s">
        <v>16</v>
      </c>
      <c r="P109" s="9">
        <v>1512</v>
      </c>
      <c r="Q109" s="9">
        <v>117</v>
      </c>
      <c r="R109" s="8" t="s">
        <v>17</v>
      </c>
      <c r="S109" s="11">
        <v>53</v>
      </c>
      <c r="T109" s="10">
        <v>0.27</v>
      </c>
      <c r="X109" s="20"/>
    </row>
    <row r="110" spans="1:25" x14ac:dyDescent="0.3">
      <c r="A110" s="7">
        <f t="shared" si="12"/>
        <v>105</v>
      </c>
      <c r="B110" s="8">
        <v>13610</v>
      </c>
      <c r="C110" s="9" t="str">
        <f t="shared" si="16"/>
        <v>2050x85185fe3A4e36079818Ba1d12705A9B6898997040xa60AdD2af71a4f50b3F94509E71a1e9DbDeA5dDa1616304unidade900027</v>
      </c>
      <c r="D110" s="13" t="s">
        <v>172</v>
      </c>
      <c r="E110" s="8" t="s">
        <v>572</v>
      </c>
      <c r="F110" s="8">
        <f t="shared" si="18"/>
        <v>0</v>
      </c>
      <c r="G110" s="8">
        <f t="shared" si="18"/>
        <v>0</v>
      </c>
      <c r="H110" s="8">
        <f t="shared" si="18"/>
        <v>0</v>
      </c>
      <c r="I110" s="8">
        <f t="shared" si="18"/>
        <v>1</v>
      </c>
      <c r="J110" s="8">
        <f t="shared" si="17"/>
        <v>0</v>
      </c>
      <c r="K110" s="15">
        <v>3.4606481494847685E-3</v>
      </c>
      <c r="M110" s="8">
        <f t="shared" si="11"/>
        <v>205</v>
      </c>
      <c r="N110" s="9" t="s">
        <v>63</v>
      </c>
      <c r="O110" s="9" t="s">
        <v>16</v>
      </c>
      <c r="P110" s="9">
        <v>1616</v>
      </c>
      <c r="Q110" s="9">
        <v>304</v>
      </c>
      <c r="R110" s="8" t="s">
        <v>17</v>
      </c>
      <c r="S110" s="11">
        <v>90</v>
      </c>
      <c r="T110" s="10">
        <v>0.27</v>
      </c>
    </row>
    <row r="111" spans="1:25" x14ac:dyDescent="0.3">
      <c r="A111" s="7">
        <f t="shared" si="12"/>
        <v>106</v>
      </c>
      <c r="B111" s="8">
        <v>1022</v>
      </c>
      <c r="C111" s="9" t="str">
        <f t="shared" si="16"/>
        <v>2060x85185fe3A4e36079818Ba1d12705A9B6898997040xa60AdD2af71a4f50b3F94509E71a1e9DbDeA5dDa1414367unidade870027</v>
      </c>
      <c r="D111" s="13" t="s">
        <v>173</v>
      </c>
      <c r="E111" s="8" t="s">
        <v>573</v>
      </c>
      <c r="F111" s="8">
        <f t="shared" si="18"/>
        <v>0</v>
      </c>
      <c r="G111" s="8">
        <f t="shared" si="18"/>
        <v>0</v>
      </c>
      <c r="H111" s="8">
        <f t="shared" si="18"/>
        <v>0</v>
      </c>
      <c r="I111" s="8">
        <f t="shared" si="18"/>
        <v>2</v>
      </c>
      <c r="J111" s="8">
        <f t="shared" si="17"/>
        <v>0</v>
      </c>
      <c r="K111" s="15">
        <v>2.5462962366873398E-4</v>
      </c>
      <c r="M111" s="8">
        <f t="shared" si="11"/>
        <v>206</v>
      </c>
      <c r="N111" s="9" t="s">
        <v>63</v>
      </c>
      <c r="O111" s="9" t="s">
        <v>16</v>
      </c>
      <c r="P111" s="9">
        <v>1414</v>
      </c>
      <c r="Q111" s="9">
        <v>367</v>
      </c>
      <c r="R111" s="8" t="s">
        <v>17</v>
      </c>
      <c r="S111" s="11">
        <v>87</v>
      </c>
      <c r="T111" s="10">
        <v>0.27</v>
      </c>
    </row>
    <row r="112" spans="1:25" x14ac:dyDescent="0.3">
      <c r="A112" s="7">
        <f t="shared" si="12"/>
        <v>107</v>
      </c>
      <c r="B112" s="8">
        <v>6464</v>
      </c>
      <c r="C112" s="9" t="str">
        <f t="shared" si="16"/>
        <v>2070x85185fe3A4e36079818Ba1d12705A9B6898997040xa60AdD2af71a4f50b3F94509E71a1e9DbDeA5dDa1636377unidade2010027</v>
      </c>
      <c r="D112" s="13" t="s">
        <v>174</v>
      </c>
      <c r="E112" s="8" t="s">
        <v>574</v>
      </c>
      <c r="F112" s="8">
        <f t="shared" si="18"/>
        <v>0</v>
      </c>
      <c r="G112" s="8">
        <f t="shared" si="18"/>
        <v>0</v>
      </c>
      <c r="H112" s="8">
        <f t="shared" si="18"/>
        <v>0</v>
      </c>
      <c r="I112" s="8">
        <f t="shared" si="18"/>
        <v>1</v>
      </c>
      <c r="J112" s="8">
        <f t="shared" si="17"/>
        <v>0</v>
      </c>
      <c r="K112" s="15">
        <v>1.6550925938645378E-3</v>
      </c>
      <c r="M112" s="8">
        <f t="shared" si="11"/>
        <v>207</v>
      </c>
      <c r="N112" s="9" t="s">
        <v>63</v>
      </c>
      <c r="O112" s="9" t="s">
        <v>16</v>
      </c>
      <c r="P112" s="9">
        <v>1636</v>
      </c>
      <c r="Q112" s="9">
        <v>377</v>
      </c>
      <c r="R112" s="8" t="s">
        <v>17</v>
      </c>
      <c r="S112" s="11">
        <v>201</v>
      </c>
      <c r="T112" s="10">
        <v>0.27</v>
      </c>
    </row>
    <row r="113" spans="1:20" x14ac:dyDescent="0.3">
      <c r="A113" s="7">
        <f t="shared" si="12"/>
        <v>108</v>
      </c>
      <c r="B113" s="8">
        <v>1969</v>
      </c>
      <c r="C113" s="9" t="str">
        <f t="shared" si="16"/>
        <v>2080x85185fe3A4e36079818Ba1d12705A9B6898997040xa60AdD2af71a4f50b3F94509E71a1e9DbDeA5dDa1203342unidade1880027</v>
      </c>
      <c r="D113" s="13" t="s">
        <v>175</v>
      </c>
      <c r="E113" s="8" t="s">
        <v>575</v>
      </c>
      <c r="F113" s="8">
        <f t="shared" si="18"/>
        <v>0</v>
      </c>
      <c r="G113" s="8">
        <f t="shared" si="18"/>
        <v>0</v>
      </c>
      <c r="H113" s="8">
        <f t="shared" si="18"/>
        <v>0</v>
      </c>
      <c r="I113" s="8">
        <f t="shared" si="18"/>
        <v>1</v>
      </c>
      <c r="J113" s="8">
        <f t="shared" si="17"/>
        <v>0</v>
      </c>
      <c r="K113" s="15">
        <v>5.0925925461342558E-4</v>
      </c>
      <c r="M113" s="8">
        <f t="shared" si="11"/>
        <v>208</v>
      </c>
      <c r="N113" s="9" t="s">
        <v>63</v>
      </c>
      <c r="O113" s="9" t="s">
        <v>16</v>
      </c>
      <c r="P113" s="9">
        <v>1203</v>
      </c>
      <c r="Q113" s="9">
        <v>342</v>
      </c>
      <c r="R113" s="8" t="s">
        <v>17</v>
      </c>
      <c r="S113" s="11">
        <v>188</v>
      </c>
      <c r="T113" s="10">
        <v>0.27</v>
      </c>
    </row>
    <row r="114" spans="1:20" x14ac:dyDescent="0.3">
      <c r="A114" s="7">
        <f t="shared" si="12"/>
        <v>109</v>
      </c>
      <c r="B114" s="8">
        <v>7156</v>
      </c>
      <c r="C114" s="9" t="str">
        <f t="shared" si="16"/>
        <v>2090x85185fe3A4e36079818Ba1d12705A9B6898997040xa60AdD2af71a4f50b3F94509E71a1e9DbDeA5dDa1302388unidade1970027</v>
      </c>
      <c r="D114" s="13" t="s">
        <v>176</v>
      </c>
      <c r="E114" s="8" t="s">
        <v>576</v>
      </c>
      <c r="F114" s="8">
        <f t="shared" si="18"/>
        <v>0</v>
      </c>
      <c r="G114" s="8">
        <f t="shared" si="18"/>
        <v>0</v>
      </c>
      <c r="H114" s="8">
        <f t="shared" si="18"/>
        <v>0</v>
      </c>
      <c r="I114" s="8">
        <f t="shared" si="18"/>
        <v>2</v>
      </c>
      <c r="J114" s="8">
        <f t="shared" si="17"/>
        <v>0</v>
      </c>
      <c r="K114" s="15">
        <v>1.8171296323998831E-3</v>
      </c>
      <c r="M114" s="8">
        <f t="shared" si="11"/>
        <v>209</v>
      </c>
      <c r="N114" s="9" t="s">
        <v>63</v>
      </c>
      <c r="O114" s="9" t="s">
        <v>16</v>
      </c>
      <c r="P114" s="9">
        <v>1302</v>
      </c>
      <c r="Q114" s="9">
        <v>388</v>
      </c>
      <c r="R114" s="8" t="s">
        <v>17</v>
      </c>
      <c r="S114" s="11">
        <v>197</v>
      </c>
      <c r="T114" s="10">
        <v>0.27</v>
      </c>
    </row>
    <row r="115" spans="1:20" x14ac:dyDescent="0.3">
      <c r="A115" s="7">
        <f t="shared" si="12"/>
        <v>110</v>
      </c>
      <c r="B115" s="8">
        <v>866</v>
      </c>
      <c r="C115" s="9" t="str">
        <f t="shared" si="16"/>
        <v>2100x85185fe3A4e36079818Ba1d12705A9B6898997040xa60AdD2af71a4f50b3F94509E71a1e9DbDeA5dDa1527233unidade2080027</v>
      </c>
      <c r="D115" s="13" t="s">
        <v>177</v>
      </c>
      <c r="E115" s="8" t="s">
        <v>577</v>
      </c>
      <c r="F115" s="8">
        <f t="shared" si="18"/>
        <v>0</v>
      </c>
      <c r="G115" s="8">
        <f t="shared" si="18"/>
        <v>0</v>
      </c>
      <c r="H115" s="8">
        <f t="shared" si="18"/>
        <v>0</v>
      </c>
      <c r="I115" s="8">
        <f t="shared" si="18"/>
        <v>4</v>
      </c>
      <c r="J115" s="8">
        <f t="shared" si="17"/>
        <v>0</v>
      </c>
      <c r="K115" s="15">
        <v>2.1990740788169205E-4</v>
      </c>
      <c r="M115" s="8">
        <f t="shared" si="11"/>
        <v>210</v>
      </c>
      <c r="N115" s="9" t="s">
        <v>63</v>
      </c>
      <c r="O115" s="9" t="s">
        <v>16</v>
      </c>
      <c r="P115" s="9">
        <v>1527</v>
      </c>
      <c r="Q115" s="9">
        <v>233</v>
      </c>
      <c r="R115" s="8" t="s">
        <v>17</v>
      </c>
      <c r="S115" s="11">
        <v>208</v>
      </c>
      <c r="T115" s="10">
        <v>0.27</v>
      </c>
    </row>
    <row r="116" spans="1:20" x14ac:dyDescent="0.3">
      <c r="A116" s="7">
        <f t="shared" si="12"/>
        <v>111</v>
      </c>
      <c r="B116" s="8">
        <v>15953</v>
      </c>
      <c r="C116" s="9" t="str">
        <f t="shared" si="16"/>
        <v>2110x85185fe3A4e36079818Ba1d12705A9B6898997040xa60AdD2af71a4f50b3F94509E71a1e9DbDeA5dDa1391423unidade2500027</v>
      </c>
      <c r="D116" s="13" t="s">
        <v>178</v>
      </c>
      <c r="E116" s="8" t="s">
        <v>578</v>
      </c>
      <c r="F116" s="8">
        <f t="shared" si="18"/>
        <v>0</v>
      </c>
      <c r="G116" s="8">
        <f t="shared" si="18"/>
        <v>0</v>
      </c>
      <c r="H116" s="8">
        <f t="shared" si="18"/>
        <v>0</v>
      </c>
      <c r="I116" s="8">
        <f t="shared" si="18"/>
        <v>1</v>
      </c>
      <c r="J116" s="8">
        <f t="shared" si="17"/>
        <v>0</v>
      </c>
      <c r="K116" s="15">
        <v>4.1087962963501923E-3</v>
      </c>
      <c r="M116" s="8">
        <f t="shared" si="11"/>
        <v>211</v>
      </c>
      <c r="N116" s="9" t="s">
        <v>63</v>
      </c>
      <c r="O116" s="9" t="s">
        <v>16</v>
      </c>
      <c r="P116" s="9">
        <v>1391</v>
      </c>
      <c r="Q116" s="9">
        <v>423</v>
      </c>
      <c r="R116" s="8" t="s">
        <v>17</v>
      </c>
      <c r="S116" s="11">
        <v>250</v>
      </c>
      <c r="T116" s="10">
        <v>0.27</v>
      </c>
    </row>
    <row r="117" spans="1:20" x14ac:dyDescent="0.3">
      <c r="A117" s="7">
        <f t="shared" si="12"/>
        <v>112</v>
      </c>
      <c r="B117" s="8">
        <v>2858</v>
      </c>
      <c r="C117" s="9" t="str">
        <f t="shared" si="16"/>
        <v>2120x85185fe3A4e36079818Ba1d12705A9B6898997040xa60AdD2af71a4f50b3F94509E71a1e9DbDeA5dDa1721360unidade1320027</v>
      </c>
      <c r="D117" s="13" t="s">
        <v>179</v>
      </c>
      <c r="E117" s="8" t="s">
        <v>579</v>
      </c>
      <c r="F117" s="8">
        <f t="shared" si="18"/>
        <v>0</v>
      </c>
      <c r="G117" s="8">
        <f t="shared" si="18"/>
        <v>0</v>
      </c>
      <c r="H117" s="8">
        <f t="shared" si="18"/>
        <v>0</v>
      </c>
      <c r="I117" s="8">
        <f t="shared" si="18"/>
        <v>4</v>
      </c>
      <c r="J117" s="8">
        <f t="shared" si="17"/>
        <v>0</v>
      </c>
      <c r="K117" s="15">
        <v>7.2916666249511763E-4</v>
      </c>
      <c r="M117" s="8">
        <f t="shared" si="11"/>
        <v>212</v>
      </c>
      <c r="N117" s="9" t="s">
        <v>63</v>
      </c>
      <c r="O117" s="9" t="s">
        <v>16</v>
      </c>
      <c r="P117" s="9">
        <v>1721</v>
      </c>
      <c r="Q117" s="9">
        <v>360</v>
      </c>
      <c r="R117" s="8" t="s">
        <v>17</v>
      </c>
      <c r="S117" s="11">
        <v>132</v>
      </c>
      <c r="T117" s="10">
        <v>0.27</v>
      </c>
    </row>
    <row r="118" spans="1:20" x14ac:dyDescent="0.3">
      <c r="A118" s="7">
        <f t="shared" si="12"/>
        <v>113</v>
      </c>
      <c r="B118" s="8">
        <v>869</v>
      </c>
      <c r="C118" s="9" t="str">
        <f t="shared" si="16"/>
        <v>2130x85185fe3A4e36079818Ba1d12705A9B6898997040xa60AdD2af71a4f50b3F94509E71a1e9DbDeA5dDa1305140unidade670027</v>
      </c>
      <c r="D118" s="13" t="s">
        <v>180</v>
      </c>
      <c r="E118" s="8" t="s">
        <v>580</v>
      </c>
      <c r="F118" s="8">
        <f t="shared" si="18"/>
        <v>0</v>
      </c>
      <c r="G118" s="8">
        <f t="shared" si="18"/>
        <v>0</v>
      </c>
      <c r="H118" s="8">
        <f t="shared" si="18"/>
        <v>0</v>
      </c>
      <c r="I118" s="8">
        <f t="shared" si="18"/>
        <v>2</v>
      </c>
      <c r="J118" s="8">
        <f t="shared" si="17"/>
        <v>0</v>
      </c>
      <c r="K118" s="15">
        <v>2.1990740788169205E-4</v>
      </c>
      <c r="M118" s="8">
        <f t="shared" si="11"/>
        <v>213</v>
      </c>
      <c r="N118" s="9" t="s">
        <v>63</v>
      </c>
      <c r="O118" s="9" t="s">
        <v>16</v>
      </c>
      <c r="P118" s="9">
        <v>1305</v>
      </c>
      <c r="Q118" s="9">
        <v>140</v>
      </c>
      <c r="R118" s="8" t="s">
        <v>17</v>
      </c>
      <c r="S118" s="11">
        <v>67</v>
      </c>
      <c r="T118" s="10">
        <v>0.27</v>
      </c>
    </row>
    <row r="119" spans="1:20" x14ac:dyDescent="0.3">
      <c r="A119" s="7">
        <f t="shared" si="12"/>
        <v>114</v>
      </c>
      <c r="B119" s="8">
        <v>1154</v>
      </c>
      <c r="C119" s="9" t="str">
        <f t="shared" si="16"/>
        <v>2140x85185fe3A4e36079818Ba1d12705A9B6898997040xa60AdD2af71a4f50b3F94509E71a1e9DbDeA5dDa1633157unidade980027</v>
      </c>
      <c r="D119" s="13" t="s">
        <v>181</v>
      </c>
      <c r="E119" s="8" t="s">
        <v>581</v>
      </c>
      <c r="F119" s="8">
        <f t="shared" si="18"/>
        <v>0</v>
      </c>
      <c r="G119" s="8">
        <f t="shared" si="18"/>
        <v>0</v>
      </c>
      <c r="H119" s="8">
        <f t="shared" si="18"/>
        <v>0</v>
      </c>
      <c r="I119" s="8">
        <f t="shared" si="18"/>
        <v>1</v>
      </c>
      <c r="J119" s="8">
        <f t="shared" si="17"/>
        <v>0</v>
      </c>
      <c r="K119" s="15">
        <v>3.0092592351138592E-4</v>
      </c>
      <c r="M119" s="8">
        <f t="shared" si="11"/>
        <v>214</v>
      </c>
      <c r="N119" s="9" t="s">
        <v>63</v>
      </c>
      <c r="O119" s="9" t="s">
        <v>16</v>
      </c>
      <c r="P119" s="9">
        <v>1633</v>
      </c>
      <c r="Q119" s="9">
        <v>157</v>
      </c>
      <c r="R119" s="8" t="s">
        <v>17</v>
      </c>
      <c r="S119" s="11">
        <v>98</v>
      </c>
      <c r="T119" s="10">
        <v>0.27</v>
      </c>
    </row>
    <row r="120" spans="1:20" x14ac:dyDescent="0.3">
      <c r="A120" s="7">
        <f t="shared" si="12"/>
        <v>115</v>
      </c>
      <c r="B120" s="8">
        <v>2019</v>
      </c>
      <c r="C120" s="9" t="str">
        <f t="shared" si="16"/>
        <v>2150x85185fe3A4e36079818Ba1d12705A9B6898997040xa60AdD2af71a4f50b3F94509E71a1e9DbDeA5dDa1313228unidade1310027</v>
      </c>
      <c r="D120" s="13" t="s">
        <v>182</v>
      </c>
      <c r="E120" s="8" t="s">
        <v>582</v>
      </c>
      <c r="F120" s="8">
        <f t="shared" si="18"/>
        <v>0</v>
      </c>
      <c r="G120" s="8">
        <f t="shared" si="18"/>
        <v>0</v>
      </c>
      <c r="H120" s="8">
        <f t="shared" si="18"/>
        <v>0</v>
      </c>
      <c r="I120" s="8">
        <f t="shared" si="18"/>
        <v>2</v>
      </c>
      <c r="J120" s="8">
        <f t="shared" si="17"/>
        <v>0</v>
      </c>
      <c r="K120" s="15">
        <v>5.2083333866903558E-4</v>
      </c>
      <c r="M120" s="8">
        <f t="shared" si="11"/>
        <v>215</v>
      </c>
      <c r="N120" s="9" t="s">
        <v>63</v>
      </c>
      <c r="O120" s="9" t="s">
        <v>16</v>
      </c>
      <c r="P120" s="9">
        <v>1313</v>
      </c>
      <c r="Q120" s="9">
        <v>228</v>
      </c>
      <c r="R120" s="8" t="s">
        <v>17</v>
      </c>
      <c r="S120" s="11">
        <v>131</v>
      </c>
      <c r="T120" s="10">
        <v>0.27</v>
      </c>
    </row>
    <row r="121" spans="1:20" x14ac:dyDescent="0.3">
      <c r="A121" s="7">
        <f t="shared" si="12"/>
        <v>116</v>
      </c>
      <c r="B121" s="8">
        <v>669</v>
      </c>
      <c r="C121" s="9" t="str">
        <f t="shared" si="16"/>
        <v>2160x85185fe3A4e36079818Ba1d12705A9B6898997040xa60AdD2af71a4f50b3F94509E71a1e9DbDeA5dDa1245443unidade700027</v>
      </c>
      <c r="D121" s="13" t="s">
        <v>183</v>
      </c>
      <c r="E121" s="8" t="s">
        <v>583</v>
      </c>
      <c r="F121" s="8">
        <f t="shared" si="18"/>
        <v>0</v>
      </c>
      <c r="G121" s="8">
        <f t="shared" si="18"/>
        <v>0</v>
      </c>
      <c r="H121" s="8">
        <f t="shared" si="18"/>
        <v>0</v>
      </c>
      <c r="I121" s="8">
        <f t="shared" si="18"/>
        <v>1</v>
      </c>
      <c r="J121" s="8">
        <f t="shared" si="17"/>
        <v>0</v>
      </c>
      <c r="K121" s="15">
        <v>1.8518518481869251E-4</v>
      </c>
      <c r="M121" s="8">
        <f t="shared" si="11"/>
        <v>216</v>
      </c>
      <c r="N121" s="9" t="s">
        <v>63</v>
      </c>
      <c r="O121" s="9" t="s">
        <v>16</v>
      </c>
      <c r="P121" s="9">
        <v>1245</v>
      </c>
      <c r="Q121" s="9">
        <v>443</v>
      </c>
      <c r="R121" s="8" t="s">
        <v>17</v>
      </c>
      <c r="S121" s="11">
        <v>70</v>
      </c>
      <c r="T121" s="10">
        <v>0.27</v>
      </c>
    </row>
    <row r="122" spans="1:20" x14ac:dyDescent="0.3">
      <c r="A122" s="7">
        <f t="shared" si="12"/>
        <v>117</v>
      </c>
      <c r="B122" s="8">
        <v>4477</v>
      </c>
      <c r="C122" s="9" t="str">
        <f t="shared" si="16"/>
        <v>2170x85185fe3A4e36079818Ba1d12705A9B6898997040xa60AdD2af71a4f50b3F94509E71a1e9DbDeA5dDa1621137unidade510027</v>
      </c>
      <c r="D122" s="13" t="s">
        <v>184</v>
      </c>
      <c r="E122" s="8" t="s">
        <v>584</v>
      </c>
      <c r="F122" s="8">
        <f t="shared" si="18"/>
        <v>0</v>
      </c>
      <c r="G122" s="8">
        <f t="shared" si="18"/>
        <v>0</v>
      </c>
      <c r="H122" s="8">
        <f t="shared" si="18"/>
        <v>0</v>
      </c>
      <c r="I122" s="8">
        <f t="shared" si="18"/>
        <v>8</v>
      </c>
      <c r="J122" s="8">
        <f t="shared" si="17"/>
        <v>0</v>
      </c>
      <c r="K122" s="15">
        <v>1.157407408754807E-3</v>
      </c>
      <c r="M122" s="8">
        <f t="shared" si="11"/>
        <v>217</v>
      </c>
      <c r="N122" s="9" t="s">
        <v>63</v>
      </c>
      <c r="O122" s="9" t="s">
        <v>16</v>
      </c>
      <c r="P122" s="9">
        <v>1621</v>
      </c>
      <c r="Q122" s="9">
        <v>137</v>
      </c>
      <c r="R122" s="8" t="s">
        <v>17</v>
      </c>
      <c r="S122" s="11">
        <v>51</v>
      </c>
      <c r="T122" s="10">
        <v>0.27</v>
      </c>
    </row>
    <row r="123" spans="1:20" x14ac:dyDescent="0.3">
      <c r="A123" s="7">
        <f t="shared" si="12"/>
        <v>118</v>
      </c>
      <c r="B123" s="8">
        <v>1419</v>
      </c>
      <c r="C123" s="9" t="str">
        <f t="shared" si="16"/>
        <v>2180x85185fe3A4e36079818Ba1d12705A9B6898997040xa60AdD2af71a4f50b3F94509E71a1e9DbDeA5dDa1368482unidade1650027</v>
      </c>
      <c r="D123" s="13" t="s">
        <v>185</v>
      </c>
      <c r="E123" s="8" t="s">
        <v>585</v>
      </c>
      <c r="F123" s="8">
        <f t="shared" si="18"/>
        <v>0</v>
      </c>
      <c r="G123" s="8">
        <f t="shared" si="18"/>
        <v>0</v>
      </c>
      <c r="H123" s="8">
        <f t="shared" si="18"/>
        <v>0</v>
      </c>
      <c r="I123" s="8">
        <f t="shared" si="18"/>
        <v>1</v>
      </c>
      <c r="J123" s="8">
        <f t="shared" si="17"/>
        <v>0</v>
      </c>
      <c r="K123" s="15">
        <v>3.5879629285773262E-4</v>
      </c>
      <c r="M123" s="8">
        <f t="shared" si="11"/>
        <v>218</v>
      </c>
      <c r="N123" s="9" t="s">
        <v>63</v>
      </c>
      <c r="O123" s="9" t="s">
        <v>16</v>
      </c>
      <c r="P123" s="9">
        <v>1368</v>
      </c>
      <c r="Q123" s="9">
        <v>482</v>
      </c>
      <c r="R123" s="8" t="s">
        <v>17</v>
      </c>
      <c r="S123" s="11">
        <v>165</v>
      </c>
      <c r="T123" s="10">
        <v>0.27</v>
      </c>
    </row>
    <row r="124" spans="1:20" x14ac:dyDescent="0.3">
      <c r="A124" s="7">
        <f t="shared" si="12"/>
        <v>119</v>
      </c>
      <c r="B124" s="8">
        <v>723</v>
      </c>
      <c r="C124" s="9" t="str">
        <f t="shared" si="16"/>
        <v>2190x85185fe3A4e36079818Ba1d12705A9B6898997040xa60AdD2af71a4f50b3F94509E71a1e9DbDeA5dDa1506110unidade1820027</v>
      </c>
      <c r="D124" s="13" t="s">
        <v>186</v>
      </c>
      <c r="E124" s="8" t="s">
        <v>586</v>
      </c>
      <c r="F124" s="8">
        <f t="shared" si="18"/>
        <v>0</v>
      </c>
      <c r="G124" s="8">
        <f t="shared" si="18"/>
        <v>0</v>
      </c>
      <c r="H124" s="8">
        <f t="shared" si="18"/>
        <v>0</v>
      </c>
      <c r="I124" s="8">
        <f t="shared" si="18"/>
        <v>1</v>
      </c>
      <c r="J124" s="8">
        <f t="shared" si="17"/>
        <v>0</v>
      </c>
      <c r="K124" s="15">
        <v>1.8518518481869251E-4</v>
      </c>
      <c r="M124" s="8">
        <f t="shared" si="11"/>
        <v>219</v>
      </c>
      <c r="N124" s="9" t="s">
        <v>63</v>
      </c>
      <c r="O124" s="9" t="s">
        <v>16</v>
      </c>
      <c r="P124" s="9">
        <v>1506</v>
      </c>
      <c r="Q124" s="9">
        <v>110</v>
      </c>
      <c r="R124" s="8" t="s">
        <v>17</v>
      </c>
      <c r="S124" s="11">
        <v>182</v>
      </c>
      <c r="T124" s="10">
        <v>0.27</v>
      </c>
    </row>
    <row r="125" spans="1:20" x14ac:dyDescent="0.3">
      <c r="A125" s="7">
        <f t="shared" si="12"/>
        <v>120</v>
      </c>
      <c r="B125" s="8">
        <v>16</v>
      </c>
      <c r="C125" s="9" t="str">
        <f t="shared" si="16"/>
        <v>2200x85185fe3A4e36079818Ba1d12705A9B6898997040xa60AdD2af71a4f50b3F94509E71a1e9DbDeA5dDa1223493unidade2430027</v>
      </c>
      <c r="D125" s="13" t="s">
        <v>187</v>
      </c>
      <c r="E125" s="8" t="s">
        <v>587</v>
      </c>
      <c r="F125" s="8">
        <f t="shared" si="18"/>
        <v>0</v>
      </c>
      <c r="G125" s="8">
        <f t="shared" si="18"/>
        <v>0</v>
      </c>
      <c r="H125" s="8">
        <f t="shared" si="18"/>
        <v>0</v>
      </c>
      <c r="I125" s="8">
        <f t="shared" si="18"/>
        <v>6</v>
      </c>
      <c r="J125" s="8">
        <f t="shared" si="17"/>
        <v>0</v>
      </c>
      <c r="K125" s="15">
        <v>0</v>
      </c>
      <c r="M125" s="8">
        <f t="shared" si="11"/>
        <v>220</v>
      </c>
      <c r="N125" s="9" t="s">
        <v>63</v>
      </c>
      <c r="O125" s="9" t="s">
        <v>16</v>
      </c>
      <c r="P125" s="9">
        <v>1223</v>
      </c>
      <c r="Q125" s="9">
        <v>493</v>
      </c>
      <c r="R125" s="8" t="s">
        <v>17</v>
      </c>
      <c r="S125" s="11">
        <v>243</v>
      </c>
      <c r="T125" s="10">
        <v>0.27</v>
      </c>
    </row>
    <row r="126" spans="1:20" x14ac:dyDescent="0.3">
      <c r="A126" s="7">
        <f t="shared" si="12"/>
        <v>121</v>
      </c>
      <c r="B126" s="8">
        <v>154</v>
      </c>
      <c r="C126" s="9" t="str">
        <f t="shared" si="16"/>
        <v>2210x85185fe3A4e36079818Ba1d12705A9B6898997040xa60AdD2af71a4f50b3F94509E71a1e9DbDeA5dDa1681134unidade1550027</v>
      </c>
      <c r="D126" s="13" t="s">
        <v>188</v>
      </c>
      <c r="E126" s="8" t="s">
        <v>588</v>
      </c>
      <c r="F126" s="8">
        <f t="shared" si="18"/>
        <v>0</v>
      </c>
      <c r="G126" s="8">
        <f t="shared" si="18"/>
        <v>0</v>
      </c>
      <c r="H126" s="8">
        <f t="shared" si="18"/>
        <v>0</v>
      </c>
      <c r="I126" s="8">
        <f t="shared" si="18"/>
        <v>1</v>
      </c>
      <c r="J126" s="8">
        <f t="shared" si="17"/>
        <v>0</v>
      </c>
      <c r="K126" s="15">
        <v>4.6296299842651933E-5</v>
      </c>
      <c r="M126" s="8">
        <f t="shared" si="11"/>
        <v>221</v>
      </c>
      <c r="N126" s="9" t="s">
        <v>63</v>
      </c>
      <c r="O126" s="9" t="s">
        <v>16</v>
      </c>
      <c r="P126" s="9">
        <v>1681</v>
      </c>
      <c r="Q126" s="9">
        <v>134</v>
      </c>
      <c r="R126" s="8" t="s">
        <v>17</v>
      </c>
      <c r="S126" s="11">
        <v>155</v>
      </c>
      <c r="T126" s="10">
        <v>0.27</v>
      </c>
    </row>
    <row r="127" spans="1:20" x14ac:dyDescent="0.3">
      <c r="A127" s="7">
        <f t="shared" si="12"/>
        <v>122</v>
      </c>
      <c r="B127" s="8">
        <v>3040</v>
      </c>
      <c r="C127" s="9" t="str">
        <f t="shared" si="16"/>
        <v>2220x85185fe3A4e36079818Ba1d12705A9B6898997040xa60AdD2af71a4f50b3F94509E71a1e9DbDeA5dDa1001473unidade1780027</v>
      </c>
      <c r="D127" s="13" t="s">
        <v>189</v>
      </c>
      <c r="E127" s="8" t="s">
        <v>589</v>
      </c>
      <c r="F127" s="8">
        <f t="shared" si="18"/>
        <v>0</v>
      </c>
      <c r="G127" s="8">
        <f t="shared" si="18"/>
        <v>0</v>
      </c>
      <c r="H127" s="8">
        <f t="shared" si="18"/>
        <v>0</v>
      </c>
      <c r="I127" s="8">
        <f t="shared" si="18"/>
        <v>0</v>
      </c>
      <c r="J127" s="8">
        <f t="shared" si="17"/>
        <v>0</v>
      </c>
      <c r="K127" s="15">
        <v>7.7546296233776957E-4</v>
      </c>
      <c r="M127" s="8">
        <f t="shared" si="11"/>
        <v>222</v>
      </c>
      <c r="N127" s="9" t="s">
        <v>63</v>
      </c>
      <c r="O127" s="9" t="s">
        <v>16</v>
      </c>
      <c r="P127" s="9">
        <v>1001</v>
      </c>
      <c r="Q127" s="9">
        <v>473</v>
      </c>
      <c r="R127" s="8" t="s">
        <v>17</v>
      </c>
      <c r="S127" s="11">
        <v>178</v>
      </c>
      <c r="T127" s="10">
        <v>0.27</v>
      </c>
    </row>
    <row r="128" spans="1:20" x14ac:dyDescent="0.3">
      <c r="A128" s="7">
        <f t="shared" si="12"/>
        <v>123</v>
      </c>
      <c r="B128" s="8">
        <v>198</v>
      </c>
      <c r="C128" s="9" t="str">
        <f t="shared" si="16"/>
        <v>2230x85185fe3A4e36079818Ba1d12705A9B6898997040xa60AdD2af71a4f50b3F94509E71a1e9DbDeA5dDa1229475unidade1090027</v>
      </c>
      <c r="D128" s="13" t="s">
        <v>190</v>
      </c>
      <c r="E128" s="8" t="s">
        <v>590</v>
      </c>
      <c r="F128" s="8">
        <f t="shared" si="18"/>
        <v>0</v>
      </c>
      <c r="G128" s="8">
        <f t="shared" si="18"/>
        <v>0</v>
      </c>
      <c r="H128" s="8">
        <f t="shared" si="18"/>
        <v>0</v>
      </c>
      <c r="I128" s="8">
        <f t="shared" si="18"/>
        <v>1</v>
      </c>
      <c r="J128" s="8">
        <f t="shared" si="17"/>
        <v>0</v>
      </c>
      <c r="K128" s="15">
        <v>5.7870369346346706E-5</v>
      </c>
      <c r="M128" s="8">
        <f t="shared" si="11"/>
        <v>223</v>
      </c>
      <c r="N128" s="9" t="s">
        <v>63</v>
      </c>
      <c r="O128" s="9" t="s">
        <v>16</v>
      </c>
      <c r="P128" s="9">
        <v>1229</v>
      </c>
      <c r="Q128" s="9">
        <v>475</v>
      </c>
      <c r="R128" s="8" t="s">
        <v>17</v>
      </c>
      <c r="S128" s="11">
        <v>109</v>
      </c>
      <c r="T128" s="10">
        <v>0.27</v>
      </c>
    </row>
    <row r="129" spans="1:20" x14ac:dyDescent="0.3">
      <c r="A129" s="7">
        <f t="shared" si="12"/>
        <v>124</v>
      </c>
      <c r="B129" s="8">
        <v>4470</v>
      </c>
      <c r="C129" s="9" t="str">
        <f t="shared" si="16"/>
        <v>2240x85185fe3A4e36079818Ba1d12705A9B6898997040xa60AdD2af71a4f50b3F94509E71a1e9DbDeA5dDa1993237unidade2100027</v>
      </c>
      <c r="D129" s="13" t="s">
        <v>191</v>
      </c>
      <c r="E129" s="8" t="s">
        <v>591</v>
      </c>
      <c r="F129" s="8">
        <f t="shared" si="18"/>
        <v>0</v>
      </c>
      <c r="G129" s="8">
        <f t="shared" si="18"/>
        <v>0</v>
      </c>
      <c r="H129" s="8">
        <f t="shared" si="18"/>
        <v>0</v>
      </c>
      <c r="I129" s="8">
        <f t="shared" si="18"/>
        <v>1</v>
      </c>
      <c r="J129" s="8">
        <f t="shared" si="17"/>
        <v>0</v>
      </c>
      <c r="K129" s="15">
        <v>1.1458333319751546E-3</v>
      </c>
      <c r="M129" s="8">
        <f t="shared" si="11"/>
        <v>224</v>
      </c>
      <c r="N129" s="9" t="s">
        <v>63</v>
      </c>
      <c r="O129" s="9" t="s">
        <v>16</v>
      </c>
      <c r="P129" s="9">
        <v>1993</v>
      </c>
      <c r="Q129" s="9">
        <v>237</v>
      </c>
      <c r="R129" s="8" t="s">
        <v>17</v>
      </c>
      <c r="S129" s="11">
        <v>210</v>
      </c>
      <c r="T129" s="10">
        <v>0.27</v>
      </c>
    </row>
    <row r="130" spans="1:20" x14ac:dyDescent="0.3">
      <c r="A130" s="7">
        <f t="shared" si="12"/>
        <v>125</v>
      </c>
      <c r="B130" s="8">
        <v>3131</v>
      </c>
      <c r="C130" s="9" t="str">
        <f t="shared" si="16"/>
        <v>2250x85185fe3A4e36079818Ba1d12705A9B6898997040xa60AdD2af71a4f50b3F94509E71a1e9DbDeA5dDa1065474unidade2260027</v>
      </c>
      <c r="D130" s="13" t="s">
        <v>192</v>
      </c>
      <c r="E130" s="8" t="s">
        <v>592</v>
      </c>
      <c r="F130" s="8">
        <f t="shared" si="18"/>
        <v>0</v>
      </c>
      <c r="G130" s="8">
        <f t="shared" si="18"/>
        <v>0</v>
      </c>
      <c r="H130" s="8">
        <f t="shared" si="18"/>
        <v>0</v>
      </c>
      <c r="I130" s="8">
        <f t="shared" si="18"/>
        <v>0</v>
      </c>
      <c r="J130" s="8">
        <f t="shared" si="17"/>
        <v>0</v>
      </c>
      <c r="K130" s="15">
        <v>7.9861110862111673E-4</v>
      </c>
      <c r="M130" s="8">
        <f t="shared" si="11"/>
        <v>225</v>
      </c>
      <c r="N130" s="9" t="s">
        <v>63</v>
      </c>
      <c r="O130" s="9" t="s">
        <v>16</v>
      </c>
      <c r="P130" s="9">
        <v>1065</v>
      </c>
      <c r="Q130" s="9">
        <v>474</v>
      </c>
      <c r="R130" s="8" t="s">
        <v>17</v>
      </c>
      <c r="S130" s="11">
        <v>226</v>
      </c>
      <c r="T130" s="10">
        <v>0.27</v>
      </c>
    </row>
    <row r="131" spans="1:20" x14ac:dyDescent="0.3">
      <c r="A131" s="7">
        <f t="shared" si="12"/>
        <v>126</v>
      </c>
      <c r="B131" s="8">
        <v>2168</v>
      </c>
      <c r="C131" s="9" t="str">
        <f t="shared" si="16"/>
        <v>2260x85185fe3A4e36079818Ba1d12705A9B6898997040xa60AdD2af71a4f50b3F94509E71a1e9DbDeA5dDa1264425unidade1590027</v>
      </c>
      <c r="D131" s="13" t="s">
        <v>193</v>
      </c>
      <c r="E131" s="8" t="s">
        <v>593</v>
      </c>
      <c r="F131" s="8">
        <f t="shared" si="18"/>
        <v>0</v>
      </c>
      <c r="G131" s="8">
        <f t="shared" si="18"/>
        <v>0</v>
      </c>
      <c r="H131" s="8">
        <f t="shared" si="18"/>
        <v>0</v>
      </c>
      <c r="I131" s="8">
        <f t="shared" si="18"/>
        <v>9</v>
      </c>
      <c r="J131" s="8">
        <f t="shared" si="17"/>
        <v>0</v>
      </c>
      <c r="K131" s="15">
        <v>5.5555556173203513E-4</v>
      </c>
      <c r="M131" s="8">
        <f t="shared" si="11"/>
        <v>226</v>
      </c>
      <c r="N131" s="9" t="s">
        <v>63</v>
      </c>
      <c r="O131" s="9" t="s">
        <v>16</v>
      </c>
      <c r="P131" s="9">
        <v>1264</v>
      </c>
      <c r="Q131" s="9">
        <v>425</v>
      </c>
      <c r="R131" s="8" t="s">
        <v>17</v>
      </c>
      <c r="S131" s="11">
        <v>159</v>
      </c>
      <c r="T131" s="10">
        <v>0.27</v>
      </c>
    </row>
    <row r="132" spans="1:20" x14ac:dyDescent="0.3">
      <c r="A132" s="7">
        <f t="shared" si="12"/>
        <v>127</v>
      </c>
      <c r="B132" s="8">
        <v>4269</v>
      </c>
      <c r="C132" s="9" t="str">
        <f t="shared" si="16"/>
        <v>2270x85185fe3A4e36079818Ba1d12705A9B6898997040xa60AdD2af71a4f50b3F94509E71a1e9DbDeA5dDa1426229unidade860027</v>
      </c>
      <c r="D132" s="13" t="s">
        <v>194</v>
      </c>
      <c r="E132" s="8" t="s">
        <v>594</v>
      </c>
      <c r="F132" s="8">
        <f t="shared" si="18"/>
        <v>0</v>
      </c>
      <c r="G132" s="8">
        <f t="shared" si="18"/>
        <v>0</v>
      </c>
      <c r="H132" s="8">
        <f t="shared" si="18"/>
        <v>0</v>
      </c>
      <c r="I132" s="8">
        <f t="shared" si="18"/>
        <v>0</v>
      </c>
      <c r="J132" s="8">
        <f t="shared" si="17"/>
        <v>0</v>
      </c>
      <c r="K132" s="15">
        <v>1.0879629626288079E-3</v>
      </c>
      <c r="M132" s="8">
        <f t="shared" si="11"/>
        <v>227</v>
      </c>
      <c r="N132" s="9" t="s">
        <v>63</v>
      </c>
      <c r="O132" s="9" t="s">
        <v>16</v>
      </c>
      <c r="P132" s="9">
        <v>1426</v>
      </c>
      <c r="Q132" s="9">
        <v>229</v>
      </c>
      <c r="R132" s="8" t="s">
        <v>17</v>
      </c>
      <c r="S132" s="11">
        <v>86</v>
      </c>
      <c r="T132" s="10">
        <v>0.27</v>
      </c>
    </row>
    <row r="133" spans="1:20" x14ac:dyDescent="0.3">
      <c r="A133" s="7">
        <f t="shared" si="12"/>
        <v>128</v>
      </c>
      <c r="B133" s="8">
        <v>5592</v>
      </c>
      <c r="C133" s="9" t="str">
        <f t="shared" si="16"/>
        <v>2280x85185fe3A4e36079818Ba1d12705A9B6898997040xa60AdD2af71a4f50b3F94509E71a1e9DbDeA5dDa1344456unidade740027</v>
      </c>
      <c r="D133" s="13" t="s">
        <v>195</v>
      </c>
      <c r="E133" s="8" t="s">
        <v>595</v>
      </c>
      <c r="F133" s="8">
        <f t="shared" si="18"/>
        <v>0</v>
      </c>
      <c r="G133" s="8">
        <f t="shared" si="18"/>
        <v>0</v>
      </c>
      <c r="H133" s="8">
        <f t="shared" si="18"/>
        <v>0</v>
      </c>
      <c r="I133" s="8">
        <f t="shared" si="18"/>
        <v>5</v>
      </c>
      <c r="J133" s="8">
        <f t="shared" si="17"/>
        <v>0</v>
      </c>
      <c r="K133" s="15">
        <v>1.4351851787068881E-3</v>
      </c>
      <c r="M133" s="8">
        <f t="shared" si="11"/>
        <v>228</v>
      </c>
      <c r="N133" s="9" t="s">
        <v>63</v>
      </c>
      <c r="O133" s="9" t="s">
        <v>16</v>
      </c>
      <c r="P133" s="9">
        <v>1344</v>
      </c>
      <c r="Q133" s="9">
        <v>456</v>
      </c>
      <c r="R133" s="8" t="s">
        <v>17</v>
      </c>
      <c r="S133" s="11">
        <v>74</v>
      </c>
      <c r="T133" s="10">
        <v>0.27</v>
      </c>
    </row>
    <row r="134" spans="1:20" x14ac:dyDescent="0.3">
      <c r="A134" s="7">
        <f t="shared" si="12"/>
        <v>129</v>
      </c>
      <c r="B134" s="8">
        <v>3145</v>
      </c>
      <c r="C134" s="9" t="str">
        <f t="shared" si="16"/>
        <v>2290x85185fe3A4e36079818Ba1d12705A9B6898997040xa60AdD2af71a4f50b3F94509E71a1e9DbDeA5dDa1110326unidade1740027</v>
      </c>
      <c r="D134" s="13" t="s">
        <v>196</v>
      </c>
      <c r="E134" s="8" t="s">
        <v>596</v>
      </c>
      <c r="F134" s="8">
        <f t="shared" si="18"/>
        <v>0</v>
      </c>
      <c r="G134" s="8">
        <f t="shared" si="18"/>
        <v>0</v>
      </c>
      <c r="H134" s="8">
        <f t="shared" si="18"/>
        <v>0</v>
      </c>
      <c r="I134" s="8">
        <f t="shared" si="18"/>
        <v>1</v>
      </c>
      <c r="J134" s="8">
        <f t="shared" si="17"/>
        <v>0</v>
      </c>
      <c r="K134" s="15">
        <v>8.1018518540076911E-4</v>
      </c>
      <c r="M134" s="8">
        <f t="shared" ref="M134:M197" si="19">1+M133</f>
        <v>229</v>
      </c>
      <c r="N134" s="9" t="s">
        <v>63</v>
      </c>
      <c r="O134" s="9" t="s">
        <v>16</v>
      </c>
      <c r="P134" s="9">
        <v>1110</v>
      </c>
      <c r="Q134" s="9">
        <v>326</v>
      </c>
      <c r="R134" s="8" t="s">
        <v>17</v>
      </c>
      <c r="S134" s="11">
        <v>174</v>
      </c>
      <c r="T134" s="10">
        <v>0.27</v>
      </c>
    </row>
    <row r="135" spans="1:20" x14ac:dyDescent="0.3">
      <c r="A135" s="7">
        <f t="shared" ref="A135:A198" si="20">1+A134</f>
        <v>130</v>
      </c>
      <c r="B135" s="8">
        <v>2736</v>
      </c>
      <c r="C135" s="9" t="str">
        <f t="shared" si="16"/>
        <v>2300x85185fe3A4e36079818Ba1d12705A9B6898997040xa60AdD2af71a4f50b3F94509E71a1e9DbDeA5dDa1806479unidade660027</v>
      </c>
      <c r="D135" s="13" t="s">
        <v>197</v>
      </c>
      <c r="E135" s="8" t="s">
        <v>597</v>
      </c>
      <c r="F135" s="8">
        <f t="shared" si="18"/>
        <v>0</v>
      </c>
      <c r="G135" s="8">
        <f t="shared" si="18"/>
        <v>0</v>
      </c>
      <c r="H135" s="8">
        <f t="shared" si="18"/>
        <v>0</v>
      </c>
      <c r="I135" s="8">
        <f t="shared" si="18"/>
        <v>1</v>
      </c>
      <c r="J135" s="8">
        <f t="shared" si="17"/>
        <v>0</v>
      </c>
      <c r="K135" s="15">
        <v>7.0601852348772809E-4</v>
      </c>
      <c r="M135" s="8">
        <f t="shared" si="19"/>
        <v>230</v>
      </c>
      <c r="N135" s="9" t="s">
        <v>63</v>
      </c>
      <c r="O135" s="9" t="s">
        <v>16</v>
      </c>
      <c r="P135" s="9">
        <v>1806</v>
      </c>
      <c r="Q135" s="9">
        <v>479</v>
      </c>
      <c r="R135" s="8" t="s">
        <v>17</v>
      </c>
      <c r="S135" s="11">
        <v>66</v>
      </c>
      <c r="T135" s="10">
        <v>0.27</v>
      </c>
    </row>
    <row r="136" spans="1:20" x14ac:dyDescent="0.3">
      <c r="A136" s="7">
        <f t="shared" si="20"/>
        <v>131</v>
      </c>
      <c r="B136" s="8">
        <v>1771</v>
      </c>
      <c r="C136" s="9" t="str">
        <f t="shared" si="16"/>
        <v>2310x85185fe3A4e36079818Ba1d12705A9B6898997040xa60AdD2af71a4f50b3F94509E71a1e9DbDeA5dDa1531314unidade1750027</v>
      </c>
      <c r="D136" s="13" t="s">
        <v>198</v>
      </c>
      <c r="E136" s="8" t="s">
        <v>598</v>
      </c>
      <c r="F136" s="8">
        <f t="shared" si="18"/>
        <v>0</v>
      </c>
      <c r="G136" s="8">
        <f t="shared" si="18"/>
        <v>0</v>
      </c>
      <c r="H136" s="8">
        <f t="shared" si="18"/>
        <v>0</v>
      </c>
      <c r="I136" s="8">
        <f t="shared" si="18"/>
        <v>1</v>
      </c>
      <c r="J136" s="8">
        <f t="shared" si="17"/>
        <v>0</v>
      </c>
      <c r="K136" s="15">
        <v>4.2824073898373172E-4</v>
      </c>
      <c r="M136" s="8">
        <f t="shared" si="19"/>
        <v>231</v>
      </c>
      <c r="N136" s="9" t="s">
        <v>63</v>
      </c>
      <c r="O136" s="9" t="s">
        <v>16</v>
      </c>
      <c r="P136" s="9">
        <v>1531</v>
      </c>
      <c r="Q136" s="9">
        <v>314</v>
      </c>
      <c r="R136" s="8" t="s">
        <v>17</v>
      </c>
      <c r="S136" s="11">
        <v>175</v>
      </c>
      <c r="T136" s="10">
        <v>0.27</v>
      </c>
    </row>
    <row r="137" spans="1:20" x14ac:dyDescent="0.3">
      <c r="A137" s="7">
        <f t="shared" si="20"/>
        <v>132</v>
      </c>
      <c r="B137" s="8">
        <v>34</v>
      </c>
      <c r="C137" s="9" t="str">
        <f t="shared" si="16"/>
        <v>2320x85185fe3A4e36079818Ba1d12705A9B6898997040xa60AdD2af71a4f50b3F94509E71a1e9DbDeA5dDa1042422unidade570027</v>
      </c>
      <c r="D137" s="13" t="s">
        <v>199</v>
      </c>
      <c r="E137" s="8" t="s">
        <v>599</v>
      </c>
      <c r="F137" s="8">
        <f t="shared" si="18"/>
        <v>0</v>
      </c>
      <c r="G137" s="8">
        <f t="shared" si="18"/>
        <v>0</v>
      </c>
      <c r="H137" s="8">
        <f t="shared" si="18"/>
        <v>0</v>
      </c>
      <c r="I137" s="8">
        <f t="shared" si="18"/>
        <v>1</v>
      </c>
      <c r="J137" s="8">
        <f t="shared" si="17"/>
        <v>0</v>
      </c>
      <c r="K137" s="15">
        <v>0</v>
      </c>
      <c r="M137" s="8">
        <f t="shared" si="19"/>
        <v>232</v>
      </c>
      <c r="N137" s="9" t="s">
        <v>63</v>
      </c>
      <c r="O137" s="9" t="s">
        <v>16</v>
      </c>
      <c r="P137" s="9">
        <v>1042</v>
      </c>
      <c r="Q137" s="9">
        <v>422</v>
      </c>
      <c r="R137" s="8" t="s">
        <v>17</v>
      </c>
      <c r="S137" s="11">
        <v>57</v>
      </c>
      <c r="T137" s="10">
        <v>0.27</v>
      </c>
    </row>
    <row r="138" spans="1:20" x14ac:dyDescent="0.3">
      <c r="A138" s="7">
        <f t="shared" si="20"/>
        <v>133</v>
      </c>
      <c r="B138" s="8">
        <v>1599</v>
      </c>
      <c r="C138" s="9" t="str">
        <f t="shared" si="16"/>
        <v>2330x85185fe3A4e36079818Ba1d12705A9B6898997040xa60AdD2af71a4f50b3F94509E71a1e9DbDeA5dDa1225251unidade1650027</v>
      </c>
      <c r="D138" s="13" t="s">
        <v>200</v>
      </c>
      <c r="E138" s="8" t="s">
        <v>600</v>
      </c>
      <c r="F138" s="8">
        <f t="shared" si="18"/>
        <v>0</v>
      </c>
      <c r="G138" s="8">
        <f t="shared" si="18"/>
        <v>0</v>
      </c>
      <c r="H138" s="8">
        <f t="shared" si="18"/>
        <v>0</v>
      </c>
      <c r="I138" s="8">
        <f t="shared" si="18"/>
        <v>7</v>
      </c>
      <c r="J138" s="8">
        <f t="shared" si="17"/>
        <v>0</v>
      </c>
      <c r="K138" s="15">
        <v>3.2407406979473308E-4</v>
      </c>
      <c r="M138" s="8">
        <f t="shared" si="19"/>
        <v>233</v>
      </c>
      <c r="N138" s="9" t="s">
        <v>63</v>
      </c>
      <c r="O138" s="9" t="s">
        <v>16</v>
      </c>
      <c r="P138" s="9">
        <v>1225</v>
      </c>
      <c r="Q138" s="9">
        <v>251</v>
      </c>
      <c r="R138" s="8" t="s">
        <v>17</v>
      </c>
      <c r="S138" s="11">
        <v>165</v>
      </c>
      <c r="T138" s="10">
        <v>0.27</v>
      </c>
    </row>
    <row r="139" spans="1:20" x14ac:dyDescent="0.3">
      <c r="A139" s="7">
        <f t="shared" si="20"/>
        <v>134</v>
      </c>
      <c r="B139" s="8">
        <v>6507</v>
      </c>
      <c r="C139" s="9" t="str">
        <f t="shared" si="16"/>
        <v>2340x85185fe3A4e36079818Ba1d12705A9B6898997040xa60AdD2af71a4f50b3F94509E71a1e9DbDeA5dDa1294300unidade2280027</v>
      </c>
      <c r="D139" s="13" t="s">
        <v>201</v>
      </c>
      <c r="E139" s="8" t="s">
        <v>601</v>
      </c>
      <c r="F139" s="8">
        <f t="shared" si="18"/>
        <v>0</v>
      </c>
      <c r="G139" s="8">
        <f t="shared" si="18"/>
        <v>0</v>
      </c>
      <c r="H139" s="8">
        <f t="shared" si="18"/>
        <v>0</v>
      </c>
      <c r="I139" s="8">
        <f t="shared" si="18"/>
        <v>1</v>
      </c>
      <c r="J139" s="8">
        <f t="shared" si="17"/>
        <v>0</v>
      </c>
      <c r="K139" s="15">
        <v>1.3657407398568466E-3</v>
      </c>
      <c r="M139" s="8">
        <f t="shared" si="19"/>
        <v>234</v>
      </c>
      <c r="N139" s="9" t="s">
        <v>63</v>
      </c>
      <c r="O139" s="9" t="s">
        <v>16</v>
      </c>
      <c r="P139" s="9">
        <v>1294</v>
      </c>
      <c r="Q139" s="9">
        <v>300</v>
      </c>
      <c r="R139" s="8" t="s">
        <v>17</v>
      </c>
      <c r="S139" s="11">
        <v>228</v>
      </c>
      <c r="T139" s="10">
        <v>0.27</v>
      </c>
    </row>
    <row r="140" spans="1:20" x14ac:dyDescent="0.3">
      <c r="A140" s="7">
        <f t="shared" si="20"/>
        <v>135</v>
      </c>
      <c r="B140" s="8">
        <v>7506</v>
      </c>
      <c r="C140" s="9" t="str">
        <f t="shared" si="16"/>
        <v>2350x85185fe3A4e36079818Ba1d12705A9B6898997040xa60AdD2af71a4f50b3F94509E71a1e9DbDeA5dDa1966458unidade2450027</v>
      </c>
      <c r="D140" s="13" t="s">
        <v>202</v>
      </c>
      <c r="E140" s="8" t="s">
        <v>602</v>
      </c>
      <c r="F140" s="8">
        <f t="shared" si="18"/>
        <v>0</v>
      </c>
      <c r="G140" s="8">
        <f t="shared" si="18"/>
        <v>0</v>
      </c>
      <c r="H140" s="8">
        <f t="shared" si="18"/>
        <v>0</v>
      </c>
      <c r="I140" s="8">
        <f t="shared" si="18"/>
        <v>1</v>
      </c>
      <c r="J140" s="8">
        <f t="shared" si="17"/>
        <v>0</v>
      </c>
      <c r="K140" s="15">
        <v>1.5740740782348439E-3</v>
      </c>
      <c r="M140" s="8">
        <f t="shared" si="19"/>
        <v>235</v>
      </c>
      <c r="N140" s="9" t="s">
        <v>63</v>
      </c>
      <c r="O140" s="9" t="s">
        <v>16</v>
      </c>
      <c r="P140" s="9">
        <v>1966</v>
      </c>
      <c r="Q140" s="9">
        <v>458</v>
      </c>
      <c r="R140" s="8" t="s">
        <v>17</v>
      </c>
      <c r="S140" s="11">
        <v>245</v>
      </c>
      <c r="T140" s="10">
        <v>0.27</v>
      </c>
    </row>
    <row r="141" spans="1:20" x14ac:dyDescent="0.3">
      <c r="A141" s="7">
        <f t="shared" si="20"/>
        <v>136</v>
      </c>
      <c r="B141" s="8">
        <v>7479</v>
      </c>
      <c r="C141" s="9" t="str">
        <f t="shared" si="16"/>
        <v>2360x85185fe3A4e36079818Ba1d12705A9B6898997040xa60AdD2af71a4f50b3F94509E71a1e9DbDeA5dDa1678118unidade2440027</v>
      </c>
      <c r="D141" s="13" t="s">
        <v>203</v>
      </c>
      <c r="E141" s="8" t="s">
        <v>603</v>
      </c>
      <c r="F141" s="8">
        <f t="shared" si="18"/>
        <v>0</v>
      </c>
      <c r="G141" s="8">
        <f t="shared" si="18"/>
        <v>0</v>
      </c>
      <c r="H141" s="8">
        <f t="shared" si="18"/>
        <v>0</v>
      </c>
      <c r="I141" s="8">
        <f t="shared" si="18"/>
        <v>4</v>
      </c>
      <c r="J141" s="8">
        <f t="shared" si="17"/>
        <v>0</v>
      </c>
      <c r="K141" s="15">
        <v>1.5740740709588863E-3</v>
      </c>
      <c r="M141" s="8">
        <f t="shared" si="19"/>
        <v>236</v>
      </c>
      <c r="N141" s="9" t="s">
        <v>63</v>
      </c>
      <c r="O141" s="9" t="s">
        <v>16</v>
      </c>
      <c r="P141" s="9">
        <v>1678</v>
      </c>
      <c r="Q141" s="9">
        <v>118</v>
      </c>
      <c r="R141" s="8" t="s">
        <v>17</v>
      </c>
      <c r="S141" s="11">
        <v>244</v>
      </c>
      <c r="T141" s="10">
        <v>0.27</v>
      </c>
    </row>
    <row r="142" spans="1:20" x14ac:dyDescent="0.3">
      <c r="A142" s="7">
        <f t="shared" si="20"/>
        <v>137</v>
      </c>
      <c r="B142" s="8">
        <v>5656</v>
      </c>
      <c r="C142" s="9" t="str">
        <f t="shared" si="16"/>
        <v>2370x85185fe3A4e36079818Ba1d12705A9B6898997040xa60AdD2af71a4f50b3F94509E71a1e9DbDeA5dDa1693270unidade2070027</v>
      </c>
      <c r="D142" s="13" t="s">
        <v>204</v>
      </c>
      <c r="E142" s="8" t="s">
        <v>604</v>
      </c>
      <c r="F142" s="8">
        <f t="shared" si="18"/>
        <v>0</v>
      </c>
      <c r="G142" s="8">
        <f t="shared" si="18"/>
        <v>0</v>
      </c>
      <c r="H142" s="8">
        <f t="shared" si="18"/>
        <v>0</v>
      </c>
      <c r="I142" s="8">
        <f t="shared" si="18"/>
        <v>1</v>
      </c>
      <c r="J142" s="8">
        <f t="shared" si="17"/>
        <v>0</v>
      </c>
      <c r="K142" s="15">
        <v>1.157407408754807E-3</v>
      </c>
      <c r="M142" s="8">
        <f t="shared" si="19"/>
        <v>237</v>
      </c>
      <c r="N142" s="9" t="s">
        <v>63</v>
      </c>
      <c r="O142" s="9" t="s">
        <v>16</v>
      </c>
      <c r="P142" s="9">
        <v>1693</v>
      </c>
      <c r="Q142" s="9">
        <v>270</v>
      </c>
      <c r="R142" s="8" t="s">
        <v>17</v>
      </c>
      <c r="S142" s="11">
        <v>207</v>
      </c>
      <c r="T142" s="10">
        <v>0.27</v>
      </c>
    </row>
    <row r="143" spans="1:20" x14ac:dyDescent="0.3">
      <c r="A143" s="7">
        <f t="shared" si="20"/>
        <v>138</v>
      </c>
      <c r="B143" s="8">
        <v>360</v>
      </c>
      <c r="C143" s="9" t="str">
        <f t="shared" si="16"/>
        <v>2380x85185fe3A4e36079818Ba1d12705A9B6898997040xa60AdD2af71a4f50b3F94509E71a1e9DbDeA5dDa1818498unidade730027</v>
      </c>
      <c r="D143" s="13" t="s">
        <v>205</v>
      </c>
      <c r="E143" s="8" t="s">
        <v>605</v>
      </c>
      <c r="F143" s="8">
        <f t="shared" si="18"/>
        <v>0</v>
      </c>
      <c r="G143" s="8">
        <f t="shared" si="18"/>
        <v>0</v>
      </c>
      <c r="H143" s="8">
        <f t="shared" si="18"/>
        <v>0</v>
      </c>
      <c r="I143" s="8">
        <f t="shared" si="18"/>
        <v>0</v>
      </c>
      <c r="J143" s="8">
        <f t="shared" si="17"/>
        <v>0</v>
      </c>
      <c r="K143" s="15">
        <v>8.1018515629693866E-5</v>
      </c>
      <c r="M143" s="8">
        <f t="shared" si="19"/>
        <v>238</v>
      </c>
      <c r="N143" s="9" t="s">
        <v>63</v>
      </c>
      <c r="O143" s="9" t="s">
        <v>16</v>
      </c>
      <c r="P143" s="9">
        <v>1818</v>
      </c>
      <c r="Q143" s="9">
        <v>498</v>
      </c>
      <c r="R143" s="8" t="s">
        <v>17</v>
      </c>
      <c r="S143" s="11">
        <v>73</v>
      </c>
      <c r="T143" s="10">
        <v>0.27</v>
      </c>
    </row>
    <row r="144" spans="1:20" x14ac:dyDescent="0.3">
      <c r="A144" s="7">
        <f t="shared" si="20"/>
        <v>139</v>
      </c>
      <c r="B144" s="8">
        <v>4256</v>
      </c>
      <c r="C144" s="9" t="str">
        <f t="shared" si="16"/>
        <v>2390x85185fe3A4e36079818Ba1d12705A9B6898997040xa60AdD2af71a4f50b3F94509E71a1e9DbDeA5dDa1102401unidade1720027</v>
      </c>
      <c r="D144" s="13" t="s">
        <v>206</v>
      </c>
      <c r="E144" s="8" t="s">
        <v>606</v>
      </c>
      <c r="F144" s="8">
        <f t="shared" si="18"/>
        <v>0</v>
      </c>
      <c r="G144" s="8">
        <f t="shared" si="18"/>
        <v>0</v>
      </c>
      <c r="H144" s="8">
        <f t="shared" si="18"/>
        <v>0</v>
      </c>
      <c r="I144" s="8">
        <f t="shared" si="18"/>
        <v>1</v>
      </c>
      <c r="J144" s="8">
        <f t="shared" si="17"/>
        <v>0</v>
      </c>
      <c r="K144" s="15">
        <v>8.7962963152676821E-4</v>
      </c>
      <c r="M144" s="8">
        <f t="shared" si="19"/>
        <v>239</v>
      </c>
      <c r="N144" s="9" t="s">
        <v>63</v>
      </c>
      <c r="O144" s="9" t="s">
        <v>16</v>
      </c>
      <c r="P144" s="9">
        <v>1102</v>
      </c>
      <c r="Q144" s="9">
        <v>401</v>
      </c>
      <c r="R144" s="8" t="s">
        <v>17</v>
      </c>
      <c r="S144" s="11">
        <v>172</v>
      </c>
      <c r="T144" s="10">
        <v>0.27</v>
      </c>
    </row>
    <row r="145" spans="1:20" x14ac:dyDescent="0.3">
      <c r="A145" s="7">
        <f t="shared" si="20"/>
        <v>140</v>
      </c>
      <c r="B145" s="8">
        <v>1246</v>
      </c>
      <c r="C145" s="9" t="str">
        <f t="shared" si="16"/>
        <v>2400x85185fe3A4e36079818Ba1d12705A9B6898997040xa60AdD2af71a4f50b3F94509E71a1e9DbDeA5dDa1267158unidade950027</v>
      </c>
      <c r="D145" s="13" t="s">
        <v>207</v>
      </c>
      <c r="E145" s="8" t="s">
        <v>607</v>
      </c>
      <c r="F145" s="8">
        <f t="shared" si="18"/>
        <v>0</v>
      </c>
      <c r="G145" s="8">
        <f t="shared" si="18"/>
        <v>0</v>
      </c>
      <c r="H145" s="8">
        <f t="shared" si="18"/>
        <v>0</v>
      </c>
      <c r="I145" s="8">
        <f t="shared" si="18"/>
        <v>1</v>
      </c>
      <c r="J145" s="8">
        <f t="shared" si="17"/>
        <v>0</v>
      </c>
      <c r="K145" s="15">
        <v>2.6620370772434399E-4</v>
      </c>
      <c r="M145" s="8">
        <f t="shared" si="19"/>
        <v>240</v>
      </c>
      <c r="N145" s="9" t="s">
        <v>63</v>
      </c>
      <c r="O145" s="9" t="s">
        <v>16</v>
      </c>
      <c r="P145" s="9">
        <v>1267</v>
      </c>
      <c r="Q145" s="9">
        <v>158</v>
      </c>
      <c r="R145" s="8" t="s">
        <v>17</v>
      </c>
      <c r="S145" s="11">
        <v>95</v>
      </c>
      <c r="T145" s="10">
        <v>0.27</v>
      </c>
    </row>
    <row r="146" spans="1:20" x14ac:dyDescent="0.3">
      <c r="A146" s="7">
        <f t="shared" si="20"/>
        <v>141</v>
      </c>
      <c r="B146" s="8">
        <v>1962</v>
      </c>
      <c r="C146" s="9" t="str">
        <f t="shared" si="16"/>
        <v>2410x85185fe3A4e36079818Ba1d12705A9B6898997040xa60AdD2af71a4f50b3F94509E71a1e9DbDeA5dDa1434458unidade1910027</v>
      </c>
      <c r="D146" s="13" t="s">
        <v>208</v>
      </c>
      <c r="E146" s="8" t="s">
        <v>608</v>
      </c>
      <c r="F146" s="8">
        <f t="shared" si="18"/>
        <v>0</v>
      </c>
      <c r="G146" s="8">
        <f t="shared" si="18"/>
        <v>0</v>
      </c>
      <c r="H146" s="8">
        <f t="shared" si="18"/>
        <v>0</v>
      </c>
      <c r="I146" s="8">
        <f t="shared" si="18"/>
        <v>6</v>
      </c>
      <c r="J146" s="8">
        <f t="shared" si="17"/>
        <v>0</v>
      </c>
      <c r="K146" s="15">
        <v>4.3981480848742649E-4</v>
      </c>
      <c r="M146" s="8">
        <f t="shared" si="19"/>
        <v>241</v>
      </c>
      <c r="N146" s="9" t="s">
        <v>63</v>
      </c>
      <c r="O146" s="9" t="s">
        <v>16</v>
      </c>
      <c r="P146" s="9">
        <v>1434</v>
      </c>
      <c r="Q146" s="9">
        <v>458</v>
      </c>
      <c r="R146" s="8" t="s">
        <v>17</v>
      </c>
      <c r="S146" s="11">
        <v>191</v>
      </c>
      <c r="T146" s="10">
        <v>0.27</v>
      </c>
    </row>
    <row r="147" spans="1:20" x14ac:dyDescent="0.3">
      <c r="A147" s="7">
        <f t="shared" si="20"/>
        <v>142</v>
      </c>
      <c r="B147" s="8">
        <v>3819</v>
      </c>
      <c r="C147" s="9" t="str">
        <f t="shared" si="16"/>
        <v>2420x85185fe3A4e36079818Ba1d12705A9B6898997040xa60AdD2af71a4f50b3F94509E71a1e9DbDeA5dDa1638371unidade2330027</v>
      </c>
      <c r="D147" s="13" t="s">
        <v>209</v>
      </c>
      <c r="E147" s="8" t="s">
        <v>609</v>
      </c>
      <c r="F147" s="8">
        <f t="shared" si="18"/>
        <v>0</v>
      </c>
      <c r="G147" s="8">
        <f t="shared" si="18"/>
        <v>0</v>
      </c>
      <c r="H147" s="8">
        <f t="shared" si="18"/>
        <v>0</v>
      </c>
      <c r="I147" s="8">
        <f t="shared" si="18"/>
        <v>1</v>
      </c>
      <c r="J147" s="8">
        <f t="shared" si="17"/>
        <v>0</v>
      </c>
      <c r="K147" s="15">
        <v>7.8703703911742195E-4</v>
      </c>
      <c r="M147" s="8">
        <f t="shared" si="19"/>
        <v>242</v>
      </c>
      <c r="N147" s="9" t="s">
        <v>63</v>
      </c>
      <c r="O147" s="9" t="s">
        <v>16</v>
      </c>
      <c r="P147" s="9">
        <v>1638</v>
      </c>
      <c r="Q147" s="9">
        <v>371</v>
      </c>
      <c r="R147" s="8" t="s">
        <v>17</v>
      </c>
      <c r="S147" s="11">
        <v>233</v>
      </c>
      <c r="T147" s="10">
        <v>0.27</v>
      </c>
    </row>
    <row r="148" spans="1:20" x14ac:dyDescent="0.3">
      <c r="A148" s="7">
        <f t="shared" si="20"/>
        <v>143</v>
      </c>
      <c r="B148" s="8">
        <v>180</v>
      </c>
      <c r="C148" s="9" t="str">
        <f t="shared" si="16"/>
        <v>2430x85185fe3A4e36079818Ba1d12705A9B6898997040xa60AdD2af71a4f50b3F94509E71a1e9DbDeA5dDa1935311unidade700027</v>
      </c>
      <c r="D148" s="13" t="s">
        <v>210</v>
      </c>
      <c r="E148" s="8" t="s">
        <v>610</v>
      </c>
      <c r="F148" s="8">
        <f t="shared" si="18"/>
        <v>0</v>
      </c>
      <c r="G148" s="8">
        <f t="shared" si="18"/>
        <v>0</v>
      </c>
      <c r="H148" s="8">
        <f t="shared" si="18"/>
        <v>0</v>
      </c>
      <c r="I148" s="8">
        <f t="shared" si="18"/>
        <v>1</v>
      </c>
      <c r="J148" s="8">
        <f t="shared" si="17"/>
        <v>0</v>
      </c>
      <c r="K148" s="15">
        <v>3.4722223062999547E-5</v>
      </c>
      <c r="M148" s="8">
        <f t="shared" si="19"/>
        <v>243</v>
      </c>
      <c r="N148" s="9" t="s">
        <v>63</v>
      </c>
      <c r="O148" s="9" t="s">
        <v>16</v>
      </c>
      <c r="P148" s="9">
        <v>1935</v>
      </c>
      <c r="Q148" s="9">
        <v>311</v>
      </c>
      <c r="R148" s="8" t="s">
        <v>17</v>
      </c>
      <c r="S148" s="11">
        <v>70</v>
      </c>
      <c r="T148" s="10">
        <v>0.27</v>
      </c>
    </row>
    <row r="149" spans="1:20" x14ac:dyDescent="0.3">
      <c r="A149" s="7">
        <f t="shared" si="20"/>
        <v>144</v>
      </c>
      <c r="B149" s="8">
        <v>4154</v>
      </c>
      <c r="C149" s="9" t="str">
        <f t="shared" si="16"/>
        <v>2440x85185fe3A4e36079818Ba1d12705A9B6898997040xa60AdD2af71a4f50b3F94509E71a1e9DbDeA5dDa1911278unidade2500027</v>
      </c>
      <c r="D149" s="13" t="s">
        <v>211</v>
      </c>
      <c r="E149" s="8" t="s">
        <v>611</v>
      </c>
      <c r="F149" s="8">
        <f t="shared" si="18"/>
        <v>0</v>
      </c>
      <c r="G149" s="8">
        <f t="shared" si="18"/>
        <v>0</v>
      </c>
      <c r="H149" s="8">
        <f t="shared" si="18"/>
        <v>0</v>
      </c>
      <c r="I149" s="8">
        <f t="shared" si="18"/>
        <v>8</v>
      </c>
      <c r="J149" s="8">
        <f t="shared" si="17"/>
        <v>0</v>
      </c>
      <c r="K149" s="15">
        <v>8.4490740846376866E-4</v>
      </c>
      <c r="M149" s="8">
        <f t="shared" si="19"/>
        <v>244</v>
      </c>
      <c r="N149" s="9" t="s">
        <v>63</v>
      </c>
      <c r="O149" s="9" t="s">
        <v>16</v>
      </c>
      <c r="P149" s="9">
        <v>1911</v>
      </c>
      <c r="Q149" s="9">
        <v>278</v>
      </c>
      <c r="R149" s="8" t="s">
        <v>17</v>
      </c>
      <c r="S149" s="11">
        <v>250</v>
      </c>
      <c r="T149" s="10">
        <v>0.27</v>
      </c>
    </row>
    <row r="150" spans="1:20" x14ac:dyDescent="0.3">
      <c r="A150" s="7">
        <f t="shared" si="20"/>
        <v>145</v>
      </c>
      <c r="B150" s="8">
        <v>3377</v>
      </c>
      <c r="C150" s="9" t="str">
        <f t="shared" si="16"/>
        <v>2450x85185fe3A4e36079818Ba1d12705A9B6898997040xa60AdD2af71a4f50b3F94509E71a1e9DbDeA5dDa1018216unidade1380027</v>
      </c>
      <c r="D150" s="13" t="s">
        <v>212</v>
      </c>
      <c r="E150" s="8" t="s">
        <v>612</v>
      </c>
      <c r="F150" s="8">
        <f t="shared" si="18"/>
        <v>0</v>
      </c>
      <c r="G150" s="8">
        <f t="shared" si="18"/>
        <v>0</v>
      </c>
      <c r="H150" s="8">
        <f t="shared" si="18"/>
        <v>0</v>
      </c>
      <c r="I150" s="8">
        <f t="shared" si="18"/>
        <v>6</v>
      </c>
      <c r="J150" s="8">
        <f t="shared" si="17"/>
        <v>0</v>
      </c>
      <c r="K150" s="15">
        <v>7.0601851621177047E-4</v>
      </c>
      <c r="M150" s="8">
        <f t="shared" si="19"/>
        <v>245</v>
      </c>
      <c r="N150" s="9" t="s">
        <v>63</v>
      </c>
      <c r="O150" s="9" t="s">
        <v>16</v>
      </c>
      <c r="P150" s="9">
        <v>1018</v>
      </c>
      <c r="Q150" s="9">
        <v>216</v>
      </c>
      <c r="R150" s="8" t="s">
        <v>17</v>
      </c>
      <c r="S150" s="11">
        <v>138</v>
      </c>
      <c r="T150" s="10">
        <v>0.27</v>
      </c>
    </row>
    <row r="151" spans="1:20" x14ac:dyDescent="0.3">
      <c r="A151" s="7">
        <f t="shared" si="20"/>
        <v>146</v>
      </c>
      <c r="B151" s="8">
        <v>1100</v>
      </c>
      <c r="C151" s="9" t="str">
        <f t="shared" si="16"/>
        <v>2460x85185fe3A4e36079818Ba1d12705A9B6898997040xa60AdD2af71a4f50b3F94509E71a1e9DbDeA5dDa1183411unidade1550027</v>
      </c>
      <c r="D151" s="13" t="s">
        <v>213</v>
      </c>
      <c r="E151" s="8" t="s">
        <v>613</v>
      </c>
      <c r="F151" s="8">
        <f t="shared" si="18"/>
        <v>0</v>
      </c>
      <c r="G151" s="8">
        <f t="shared" si="18"/>
        <v>0</v>
      </c>
      <c r="H151" s="8">
        <f t="shared" si="18"/>
        <v>0</v>
      </c>
      <c r="I151" s="8">
        <f t="shared" si="18"/>
        <v>1</v>
      </c>
      <c r="J151" s="8">
        <f t="shared" si="17"/>
        <v>0</v>
      </c>
      <c r="K151" s="15">
        <v>2.3148148466134444E-4</v>
      </c>
      <c r="M151" s="8">
        <f t="shared" si="19"/>
        <v>246</v>
      </c>
      <c r="N151" s="9" t="s">
        <v>63</v>
      </c>
      <c r="O151" s="9" t="s">
        <v>16</v>
      </c>
      <c r="P151" s="9">
        <v>1183</v>
      </c>
      <c r="Q151" s="9">
        <v>411</v>
      </c>
      <c r="R151" s="8" t="s">
        <v>17</v>
      </c>
      <c r="S151" s="11">
        <v>155</v>
      </c>
      <c r="T151" s="10">
        <v>0.27</v>
      </c>
    </row>
    <row r="152" spans="1:20" x14ac:dyDescent="0.3">
      <c r="A152" s="7">
        <f t="shared" si="20"/>
        <v>147</v>
      </c>
      <c r="B152" s="8">
        <v>3499</v>
      </c>
      <c r="C152" s="9" t="str">
        <f t="shared" si="16"/>
        <v>2470x85185fe3A4e36079818Ba1d12705A9B6898997040xa60AdD2af71a4f50b3F94509E71a1e9DbDeA5dDa1080280unidade1880027</v>
      </c>
      <c r="D152" s="13" t="s">
        <v>214</v>
      </c>
      <c r="E152" s="8" t="s">
        <v>614</v>
      </c>
      <c r="F152" s="8">
        <f t="shared" si="18"/>
        <v>0</v>
      </c>
      <c r="G152" s="8">
        <f t="shared" si="18"/>
        <v>0</v>
      </c>
      <c r="H152" s="8">
        <f t="shared" si="18"/>
        <v>0</v>
      </c>
      <c r="I152" s="8">
        <f t="shared" si="18"/>
        <v>1</v>
      </c>
      <c r="J152" s="8">
        <f t="shared" si="17"/>
        <v>0</v>
      </c>
      <c r="K152" s="15">
        <v>7.1759259299142286E-4</v>
      </c>
      <c r="M152" s="8">
        <f t="shared" si="19"/>
        <v>247</v>
      </c>
      <c r="N152" s="9" t="s">
        <v>63</v>
      </c>
      <c r="O152" s="9" t="s">
        <v>16</v>
      </c>
      <c r="P152" s="9">
        <v>1080</v>
      </c>
      <c r="Q152" s="9">
        <v>280</v>
      </c>
      <c r="R152" s="8" t="s">
        <v>17</v>
      </c>
      <c r="S152" s="11">
        <v>188</v>
      </c>
      <c r="T152" s="10">
        <v>0.27</v>
      </c>
    </row>
    <row r="153" spans="1:20" x14ac:dyDescent="0.3">
      <c r="A153" s="7">
        <f t="shared" si="20"/>
        <v>148</v>
      </c>
      <c r="B153" s="8">
        <v>1358</v>
      </c>
      <c r="C153" s="9" t="str">
        <f t="shared" si="16"/>
        <v>2480x85185fe3A4e36079818Ba1d12705A9B6898997040xa60AdD2af71a4f50b3F94509E71a1e9DbDeA5dDa1739284unidade1980027</v>
      </c>
      <c r="D153" s="13" t="s">
        <v>215</v>
      </c>
      <c r="E153" s="8" t="s">
        <v>615</v>
      </c>
      <c r="F153" s="8">
        <f t="shared" si="18"/>
        <v>0</v>
      </c>
      <c r="G153" s="8">
        <f t="shared" si="18"/>
        <v>0</v>
      </c>
      <c r="H153" s="8">
        <f t="shared" si="18"/>
        <v>0</v>
      </c>
      <c r="I153" s="8">
        <f t="shared" si="18"/>
        <v>6</v>
      </c>
      <c r="J153" s="8">
        <f t="shared" si="17"/>
        <v>0</v>
      </c>
      <c r="K153" s="15">
        <v>2.7777777722803876E-4</v>
      </c>
      <c r="M153" s="8">
        <f t="shared" si="19"/>
        <v>248</v>
      </c>
      <c r="N153" s="9" t="s">
        <v>63</v>
      </c>
      <c r="O153" s="9" t="s">
        <v>16</v>
      </c>
      <c r="P153" s="9">
        <v>1739</v>
      </c>
      <c r="Q153" s="9">
        <v>284</v>
      </c>
      <c r="R153" s="8" t="s">
        <v>17</v>
      </c>
      <c r="S153" s="11">
        <v>198</v>
      </c>
      <c r="T153" s="10">
        <v>0.27</v>
      </c>
    </row>
    <row r="154" spans="1:20" x14ac:dyDescent="0.3">
      <c r="A154" s="7">
        <f t="shared" si="20"/>
        <v>149</v>
      </c>
      <c r="B154" s="8">
        <v>12725</v>
      </c>
      <c r="C154" s="9" t="str">
        <f t="shared" si="16"/>
        <v>2490x85185fe3A4e36079818Ba1d12705A9B6898997040xa60AdD2af71a4f50b3F94509E71a1e9DbDeA5dDa1894318unidade1800027</v>
      </c>
      <c r="D154" s="13" t="s">
        <v>216</v>
      </c>
      <c r="E154" s="8" t="s">
        <v>616</v>
      </c>
      <c r="F154" s="8">
        <f t="shared" si="18"/>
        <v>0</v>
      </c>
      <c r="G154" s="8">
        <f t="shared" si="18"/>
        <v>0</v>
      </c>
      <c r="H154" s="8">
        <f t="shared" si="18"/>
        <v>0</v>
      </c>
      <c r="I154" s="8">
        <f t="shared" si="18"/>
        <v>1</v>
      </c>
      <c r="J154" s="8">
        <f t="shared" si="17"/>
        <v>0</v>
      </c>
      <c r="K154" s="15">
        <v>2.638888887304347E-3</v>
      </c>
      <c r="M154" s="8">
        <f t="shared" si="19"/>
        <v>249</v>
      </c>
      <c r="N154" s="9" t="s">
        <v>63</v>
      </c>
      <c r="O154" s="9" t="s">
        <v>16</v>
      </c>
      <c r="P154" s="9">
        <v>1894</v>
      </c>
      <c r="Q154" s="9">
        <v>318</v>
      </c>
      <c r="R154" s="8" t="s">
        <v>17</v>
      </c>
      <c r="S154" s="11">
        <v>180</v>
      </c>
      <c r="T154" s="10">
        <v>0.27</v>
      </c>
    </row>
    <row r="155" spans="1:20" x14ac:dyDescent="0.3">
      <c r="A155" s="7">
        <f t="shared" si="20"/>
        <v>150</v>
      </c>
      <c r="B155" s="8">
        <v>3418</v>
      </c>
      <c r="C155" s="9" t="str">
        <f t="shared" si="16"/>
        <v>2500x85185fe3A4e36079818Ba1d12705A9B6898997040xa60AdD2af71a4f50b3F94509E71a1e9DbDeA5dDa1185475unidade1550027</v>
      </c>
      <c r="D155" s="13" t="s">
        <v>217</v>
      </c>
      <c r="E155" s="8" t="s">
        <v>617</v>
      </c>
      <c r="F155" s="8">
        <f t="shared" si="18"/>
        <v>0</v>
      </c>
      <c r="G155" s="8">
        <f t="shared" si="18"/>
        <v>0</v>
      </c>
      <c r="H155" s="8">
        <f t="shared" si="18"/>
        <v>0</v>
      </c>
      <c r="I155" s="8">
        <f t="shared" si="18"/>
        <v>1</v>
      </c>
      <c r="J155" s="8">
        <f t="shared" si="17"/>
        <v>0</v>
      </c>
      <c r="K155" s="15">
        <v>7.0601852348772809E-4</v>
      </c>
      <c r="M155" s="8">
        <f t="shared" si="19"/>
        <v>250</v>
      </c>
      <c r="N155" s="9" t="s">
        <v>63</v>
      </c>
      <c r="O155" s="9" t="s">
        <v>16</v>
      </c>
      <c r="P155" s="9">
        <v>1185</v>
      </c>
      <c r="Q155" s="9">
        <v>475</v>
      </c>
      <c r="R155" s="8" t="s">
        <v>17</v>
      </c>
      <c r="S155" s="11">
        <v>155</v>
      </c>
      <c r="T155" s="10">
        <v>0.27</v>
      </c>
    </row>
    <row r="156" spans="1:20" x14ac:dyDescent="0.3">
      <c r="A156" s="7">
        <f t="shared" si="20"/>
        <v>151</v>
      </c>
      <c r="B156" s="8">
        <v>1235</v>
      </c>
      <c r="C156" s="9" t="str">
        <f t="shared" si="16"/>
        <v>2510x85185fe3A4e36079818Ba1d12705A9B6898997040xa60AdD2af71a4f50b3F94509E71a1e9DbDeA5dDa1440167unidade1140027</v>
      </c>
      <c r="D156" s="13" t="s">
        <v>218</v>
      </c>
      <c r="E156" s="8" t="s">
        <v>618</v>
      </c>
      <c r="F156" s="8">
        <f t="shared" si="18"/>
        <v>0</v>
      </c>
      <c r="G156" s="8">
        <f t="shared" si="18"/>
        <v>0</v>
      </c>
      <c r="H156" s="8">
        <f t="shared" si="18"/>
        <v>0</v>
      </c>
      <c r="I156" s="8">
        <f t="shared" si="18"/>
        <v>1</v>
      </c>
      <c r="J156" s="8">
        <f t="shared" si="17"/>
        <v>0</v>
      </c>
      <c r="K156" s="15">
        <v>2.5462962366873398E-4</v>
      </c>
      <c r="M156" s="8">
        <f t="shared" si="19"/>
        <v>251</v>
      </c>
      <c r="N156" s="9" t="s">
        <v>63</v>
      </c>
      <c r="O156" s="9" t="s">
        <v>16</v>
      </c>
      <c r="P156" s="9">
        <v>1440</v>
      </c>
      <c r="Q156" s="9">
        <v>167</v>
      </c>
      <c r="R156" s="8" t="s">
        <v>17</v>
      </c>
      <c r="S156" s="11">
        <v>114</v>
      </c>
      <c r="T156" s="10">
        <v>0.27</v>
      </c>
    </row>
    <row r="157" spans="1:20" x14ac:dyDescent="0.3">
      <c r="A157" s="7">
        <f t="shared" si="20"/>
        <v>152</v>
      </c>
      <c r="B157" s="8">
        <v>1955</v>
      </c>
      <c r="C157" s="9" t="str">
        <f t="shared" si="16"/>
        <v>2520x85185fe3A4e36079818Ba1d12705A9B6898997040xa60AdD2af71a4f50b3F94509E71a1e9DbDeA5dDa1119175unidade970027</v>
      </c>
      <c r="D157" s="13" t="s">
        <v>219</v>
      </c>
      <c r="E157" s="8" t="s">
        <v>619</v>
      </c>
      <c r="F157" s="8">
        <f t="shared" si="18"/>
        <v>0</v>
      </c>
      <c r="G157" s="8">
        <f t="shared" si="18"/>
        <v>0</v>
      </c>
      <c r="H157" s="8">
        <f t="shared" si="18"/>
        <v>0</v>
      </c>
      <c r="I157" s="8">
        <f t="shared" si="18"/>
        <v>6</v>
      </c>
      <c r="J157" s="8">
        <f t="shared" si="17"/>
        <v>0</v>
      </c>
      <c r="K157" s="15">
        <v>4.1666666948003694E-4</v>
      </c>
      <c r="M157" s="8">
        <f t="shared" si="19"/>
        <v>252</v>
      </c>
      <c r="N157" s="9" t="s">
        <v>63</v>
      </c>
      <c r="O157" s="9" t="s">
        <v>16</v>
      </c>
      <c r="P157" s="9">
        <v>1119</v>
      </c>
      <c r="Q157" s="9">
        <v>175</v>
      </c>
      <c r="R157" s="8" t="s">
        <v>17</v>
      </c>
      <c r="S157" s="11">
        <v>97</v>
      </c>
      <c r="T157" s="10">
        <v>0.27</v>
      </c>
    </row>
    <row r="158" spans="1:20" x14ac:dyDescent="0.3">
      <c r="A158" s="7">
        <f t="shared" si="20"/>
        <v>153</v>
      </c>
      <c r="B158" s="8">
        <v>1617</v>
      </c>
      <c r="C158" s="9" t="str">
        <f t="shared" si="16"/>
        <v>2530x85185fe3A4e36079818Ba1d12705A9B6898997040xa60AdD2af71a4f50b3F94509E71a1e9DbDeA5dDa1563187unidade580027</v>
      </c>
      <c r="D158" s="13" t="s">
        <v>220</v>
      </c>
      <c r="E158" s="8" t="s">
        <v>620</v>
      </c>
      <c r="F158" s="8">
        <f t="shared" si="18"/>
        <v>0</v>
      </c>
      <c r="G158" s="8">
        <f t="shared" si="18"/>
        <v>0</v>
      </c>
      <c r="H158" s="8">
        <f t="shared" si="18"/>
        <v>0</v>
      </c>
      <c r="I158" s="8">
        <f t="shared" si="18"/>
        <v>8</v>
      </c>
      <c r="J158" s="8">
        <f t="shared" si="17"/>
        <v>0</v>
      </c>
      <c r="K158" s="15">
        <v>3.3564814657438546E-4</v>
      </c>
      <c r="M158" s="8">
        <f t="shared" si="19"/>
        <v>253</v>
      </c>
      <c r="N158" s="9" t="s">
        <v>63</v>
      </c>
      <c r="O158" s="9" t="s">
        <v>16</v>
      </c>
      <c r="P158" s="9">
        <v>1563</v>
      </c>
      <c r="Q158" s="9">
        <v>187</v>
      </c>
      <c r="R158" s="8" t="s">
        <v>17</v>
      </c>
      <c r="S158" s="11">
        <v>58</v>
      </c>
      <c r="T158" s="10">
        <v>0.27</v>
      </c>
    </row>
    <row r="159" spans="1:20" x14ac:dyDescent="0.3">
      <c r="A159" s="7">
        <f t="shared" si="20"/>
        <v>154</v>
      </c>
      <c r="B159" s="8">
        <v>363</v>
      </c>
      <c r="C159" s="9" t="str">
        <f t="shared" si="16"/>
        <v>2540x85185fe3A4e36079818Ba1d12705A9B6898997040xa60AdD2af71a4f50b3F94509E71a1e9DbDeA5dDa1808329unidade670027</v>
      </c>
      <c r="D159" s="13" t="s">
        <v>221</v>
      </c>
      <c r="E159" s="8" t="s">
        <v>621</v>
      </c>
      <c r="F159" s="8">
        <f t="shared" si="18"/>
        <v>0</v>
      </c>
      <c r="G159" s="8">
        <f t="shared" si="18"/>
        <v>0</v>
      </c>
      <c r="H159" s="8">
        <f t="shared" si="18"/>
        <v>0</v>
      </c>
      <c r="I159" s="8">
        <f t="shared" si="18"/>
        <v>1</v>
      </c>
      <c r="J159" s="8">
        <f t="shared" si="17"/>
        <v>0</v>
      </c>
      <c r="K159" s="15">
        <v>6.9444446125999093E-5</v>
      </c>
      <c r="M159" s="8">
        <f t="shared" si="19"/>
        <v>254</v>
      </c>
      <c r="N159" s="9" t="s">
        <v>63</v>
      </c>
      <c r="O159" s="9" t="s">
        <v>16</v>
      </c>
      <c r="P159" s="9">
        <v>1808</v>
      </c>
      <c r="Q159" s="9">
        <v>329</v>
      </c>
      <c r="R159" s="8" t="s">
        <v>17</v>
      </c>
      <c r="S159" s="11">
        <v>67</v>
      </c>
      <c r="T159" s="10">
        <v>0.27</v>
      </c>
    </row>
    <row r="160" spans="1:20" x14ac:dyDescent="0.3">
      <c r="A160" s="7">
        <f t="shared" si="20"/>
        <v>155</v>
      </c>
      <c r="B160" s="8">
        <v>173</v>
      </c>
      <c r="C160" s="9" t="str">
        <f t="shared" si="16"/>
        <v>2550x85185fe3A4e36079818Ba1d12705A9B6898997040xa60AdD2af71a4f50b3F94509E71a1e9DbDeA5dDa1078221unidade1620027</v>
      </c>
      <c r="D160" s="13" t="s">
        <v>222</v>
      </c>
      <c r="E160" s="8" t="s">
        <v>622</v>
      </c>
      <c r="F160" s="8">
        <f t="shared" si="18"/>
        <v>0</v>
      </c>
      <c r="G160" s="8">
        <f t="shared" si="18"/>
        <v>0</v>
      </c>
      <c r="H160" s="8">
        <f t="shared" si="18"/>
        <v>0</v>
      </c>
      <c r="I160" s="8">
        <f t="shared" si="18"/>
        <v>2</v>
      </c>
      <c r="J160" s="8">
        <f t="shared" si="17"/>
        <v>0</v>
      </c>
      <c r="K160" s="15">
        <v>3.4722223062999547E-5</v>
      </c>
      <c r="M160" s="8">
        <f t="shared" si="19"/>
        <v>255</v>
      </c>
      <c r="N160" s="9" t="s">
        <v>63</v>
      </c>
      <c r="O160" s="9" t="s">
        <v>16</v>
      </c>
      <c r="P160" s="9">
        <v>1078</v>
      </c>
      <c r="Q160" s="9">
        <v>221</v>
      </c>
      <c r="R160" s="8" t="s">
        <v>17</v>
      </c>
      <c r="S160" s="11">
        <v>162</v>
      </c>
      <c r="T160" s="10">
        <v>0.27</v>
      </c>
    </row>
    <row r="161" spans="1:20" x14ac:dyDescent="0.3">
      <c r="A161" s="7">
        <f t="shared" si="20"/>
        <v>156</v>
      </c>
      <c r="B161" s="8">
        <v>3303</v>
      </c>
      <c r="C161" s="9" t="str">
        <f t="shared" si="16"/>
        <v>2560x85185fe3A4e36079818Ba1d12705A9B6898997040xa60AdD2af71a4f50b3F94509E71a1e9DbDeA5dDa1972227unidade2320027</v>
      </c>
      <c r="D161" s="13" t="s">
        <v>223</v>
      </c>
      <c r="E161" s="8" t="s">
        <v>623</v>
      </c>
      <c r="F161" s="8">
        <f t="shared" si="18"/>
        <v>0</v>
      </c>
      <c r="G161" s="8">
        <f t="shared" si="18"/>
        <v>0</v>
      </c>
      <c r="H161" s="8">
        <f t="shared" si="18"/>
        <v>0</v>
      </c>
      <c r="I161" s="8">
        <f t="shared" si="18"/>
        <v>2</v>
      </c>
      <c r="J161" s="8">
        <f t="shared" si="17"/>
        <v>0</v>
      </c>
      <c r="K161" s="15">
        <v>6.944444467080757E-4</v>
      </c>
      <c r="M161" s="8">
        <f t="shared" si="19"/>
        <v>256</v>
      </c>
      <c r="N161" s="9" t="s">
        <v>63</v>
      </c>
      <c r="O161" s="9" t="s">
        <v>16</v>
      </c>
      <c r="P161" s="9">
        <v>1972</v>
      </c>
      <c r="Q161" s="9">
        <v>227</v>
      </c>
      <c r="R161" s="8" t="s">
        <v>17</v>
      </c>
      <c r="S161" s="11">
        <v>232</v>
      </c>
      <c r="T161" s="10">
        <v>0.27</v>
      </c>
    </row>
    <row r="162" spans="1:20" x14ac:dyDescent="0.3">
      <c r="A162" s="7">
        <f t="shared" si="20"/>
        <v>157</v>
      </c>
      <c r="B162" s="8">
        <v>7942</v>
      </c>
      <c r="C162" s="9" t="str">
        <f t="shared" si="16"/>
        <v>2570x85185fe3A4e36079818Ba1d12705A9B6898997040xa60AdD2af71a4f50b3F94509E71a1e9DbDeA5dDa1438240unidade1800027</v>
      </c>
      <c r="D162" s="13" t="s">
        <v>224</v>
      </c>
      <c r="E162" s="8" t="s">
        <v>624</v>
      </c>
      <c r="F162" s="8">
        <f t="shared" si="18"/>
        <v>0</v>
      </c>
      <c r="G162" s="8">
        <f t="shared" si="18"/>
        <v>0</v>
      </c>
      <c r="H162" s="8">
        <f t="shared" si="18"/>
        <v>0</v>
      </c>
      <c r="I162" s="8">
        <f t="shared" si="18"/>
        <v>6</v>
      </c>
      <c r="J162" s="8">
        <f t="shared" si="17"/>
        <v>0</v>
      </c>
      <c r="K162" s="15">
        <v>1.631944440305233E-3</v>
      </c>
      <c r="M162" s="8">
        <f t="shared" si="19"/>
        <v>257</v>
      </c>
      <c r="N162" s="9" t="s">
        <v>63</v>
      </c>
      <c r="O162" s="9" t="s">
        <v>16</v>
      </c>
      <c r="P162" s="9">
        <v>1438</v>
      </c>
      <c r="Q162" s="9">
        <v>240</v>
      </c>
      <c r="R162" s="8" t="s">
        <v>17</v>
      </c>
      <c r="S162" s="11">
        <v>180</v>
      </c>
      <c r="T162" s="10">
        <v>0.27</v>
      </c>
    </row>
    <row r="163" spans="1:20" x14ac:dyDescent="0.3">
      <c r="A163" s="7">
        <f t="shared" si="20"/>
        <v>158</v>
      </c>
      <c r="B163" s="8">
        <v>8021</v>
      </c>
      <c r="C163" s="9" t="str">
        <f t="shared" si="16"/>
        <v>2580x85185fe3A4e36079818Ba1d12705A9B6898997040xa60AdD2af71a4f50b3F94509E71a1e9DbDeA5dDa1235152unidade790027</v>
      </c>
      <c r="D163" s="13" t="s">
        <v>225</v>
      </c>
      <c r="E163" s="8" t="s">
        <v>625</v>
      </c>
      <c r="F163" s="8">
        <f t="shared" si="18"/>
        <v>0</v>
      </c>
      <c r="G163" s="8">
        <f t="shared" si="18"/>
        <v>0</v>
      </c>
      <c r="H163" s="8">
        <f t="shared" si="18"/>
        <v>0</v>
      </c>
      <c r="I163" s="8">
        <f t="shared" si="18"/>
        <v>1</v>
      </c>
      <c r="J163" s="8">
        <f t="shared" si="17"/>
        <v>0</v>
      </c>
      <c r="K163" s="15">
        <v>1.6550925938645378E-3</v>
      </c>
      <c r="M163" s="8">
        <f t="shared" si="19"/>
        <v>258</v>
      </c>
      <c r="N163" s="9" t="s">
        <v>63</v>
      </c>
      <c r="O163" s="9" t="s">
        <v>16</v>
      </c>
      <c r="P163" s="9">
        <v>1235</v>
      </c>
      <c r="Q163" s="9">
        <v>152</v>
      </c>
      <c r="R163" s="8" t="s">
        <v>17</v>
      </c>
      <c r="S163" s="11">
        <v>79</v>
      </c>
      <c r="T163" s="10">
        <v>0.27</v>
      </c>
    </row>
    <row r="164" spans="1:20" x14ac:dyDescent="0.3">
      <c r="A164" s="7">
        <f t="shared" si="20"/>
        <v>159</v>
      </c>
      <c r="B164" s="8">
        <v>2747</v>
      </c>
      <c r="C164" s="9" t="str">
        <f t="shared" si="16"/>
        <v>2590x85185fe3A4e36079818Ba1d12705A9B6898997040xa60AdD2af71a4f50b3F94509E71a1e9DbDeA5dDa1376335unidade2350027</v>
      </c>
      <c r="D164" s="13" t="s">
        <v>226</v>
      </c>
      <c r="E164" s="8" t="s">
        <v>626</v>
      </c>
      <c r="F164" s="8">
        <f t="shared" si="18"/>
        <v>0</v>
      </c>
      <c r="G164" s="8">
        <f t="shared" si="18"/>
        <v>0</v>
      </c>
      <c r="H164" s="8">
        <f t="shared" si="18"/>
        <v>0</v>
      </c>
      <c r="I164" s="8">
        <f t="shared" si="18"/>
        <v>3</v>
      </c>
      <c r="J164" s="8">
        <f t="shared" si="17"/>
        <v>0</v>
      </c>
      <c r="K164" s="15">
        <v>5.5555555445607752E-4</v>
      </c>
      <c r="M164" s="8">
        <f t="shared" si="19"/>
        <v>259</v>
      </c>
      <c r="N164" s="9" t="s">
        <v>63</v>
      </c>
      <c r="O164" s="9" t="s">
        <v>16</v>
      </c>
      <c r="P164" s="9">
        <v>1376</v>
      </c>
      <c r="Q164" s="9">
        <v>335</v>
      </c>
      <c r="R164" s="8" t="s">
        <v>17</v>
      </c>
      <c r="S164" s="11">
        <v>235</v>
      </c>
      <c r="T164" s="10">
        <v>0.27</v>
      </c>
    </row>
    <row r="165" spans="1:20" x14ac:dyDescent="0.3">
      <c r="A165" s="7">
        <f t="shared" si="20"/>
        <v>160</v>
      </c>
      <c r="B165" s="8">
        <v>5775</v>
      </c>
      <c r="C165" s="9" t="str">
        <f t="shared" si="16"/>
        <v>2600x85185fe3A4e36079818Ba1d12705A9B6898997040xa60AdD2af71a4f50b3F94509E71a1e9DbDeA5dDa1887208unidade1300027</v>
      </c>
      <c r="D165" s="13" t="s">
        <v>227</v>
      </c>
      <c r="E165" s="8" t="s">
        <v>627</v>
      </c>
      <c r="F165" s="8">
        <f t="shared" si="18"/>
        <v>0</v>
      </c>
      <c r="G165" s="8">
        <f t="shared" si="18"/>
        <v>0</v>
      </c>
      <c r="H165" s="8">
        <f t="shared" si="18"/>
        <v>0</v>
      </c>
      <c r="I165" s="8">
        <f t="shared" si="18"/>
        <v>5</v>
      </c>
      <c r="J165" s="8">
        <f t="shared" si="17"/>
        <v>0</v>
      </c>
      <c r="K165" s="15">
        <v>1.1805555550381541E-3</v>
      </c>
      <c r="M165" s="8">
        <f t="shared" si="19"/>
        <v>260</v>
      </c>
      <c r="N165" s="9" t="s">
        <v>63</v>
      </c>
      <c r="O165" s="9" t="s">
        <v>16</v>
      </c>
      <c r="P165" s="9">
        <v>1887</v>
      </c>
      <c r="Q165" s="9">
        <v>208</v>
      </c>
      <c r="R165" s="8" t="s">
        <v>17</v>
      </c>
      <c r="S165" s="11">
        <v>130</v>
      </c>
      <c r="T165" s="10">
        <v>0.27</v>
      </c>
    </row>
    <row r="166" spans="1:20" x14ac:dyDescent="0.3">
      <c r="A166" s="7">
        <f t="shared" si="20"/>
        <v>161</v>
      </c>
      <c r="B166" s="8">
        <v>524</v>
      </c>
      <c r="C166" s="9" t="str">
        <f t="shared" si="16"/>
        <v>2610x85185fe3A4e36079818Ba1d12705A9B6898997040xa60AdD2af71a4f50b3F94509E71a1e9DbDeA5dDa1461341unidade780027</v>
      </c>
      <c r="D166" s="13" t="s">
        <v>228</v>
      </c>
      <c r="E166" s="8" t="s">
        <v>628</v>
      </c>
      <c r="F166" s="8">
        <f t="shared" si="18"/>
        <v>0</v>
      </c>
      <c r="G166" s="8">
        <f t="shared" si="18"/>
        <v>0</v>
      </c>
      <c r="H166" s="8">
        <f t="shared" si="18"/>
        <v>0</v>
      </c>
      <c r="I166" s="8">
        <f t="shared" si="18"/>
        <v>2</v>
      </c>
      <c r="J166" s="8">
        <f t="shared" si="17"/>
        <v>0</v>
      </c>
      <c r="K166" s="15">
        <v>1.0416666191304103E-4</v>
      </c>
      <c r="M166" s="8">
        <f t="shared" si="19"/>
        <v>261</v>
      </c>
      <c r="N166" s="9" t="s">
        <v>63</v>
      </c>
      <c r="O166" s="9" t="s">
        <v>16</v>
      </c>
      <c r="P166" s="9">
        <v>1461</v>
      </c>
      <c r="Q166" s="9">
        <v>341</v>
      </c>
      <c r="R166" s="8" t="s">
        <v>17</v>
      </c>
      <c r="S166" s="11">
        <v>78</v>
      </c>
      <c r="T166" s="10">
        <v>0.27</v>
      </c>
    </row>
    <row r="167" spans="1:20" x14ac:dyDescent="0.3">
      <c r="A167" s="7">
        <f t="shared" si="20"/>
        <v>162</v>
      </c>
      <c r="B167" s="8">
        <v>3751</v>
      </c>
      <c r="C167" s="9" t="str">
        <f t="shared" si="16"/>
        <v>2620x85185fe3A4e36079818Ba1d12705A9B6898997040xa60AdD2af71a4f50b3F94509E71a1e9DbDeA5dDa1641486unidade2470027</v>
      </c>
      <c r="D167" s="13" t="s">
        <v>229</v>
      </c>
      <c r="E167" s="8" t="s">
        <v>629</v>
      </c>
      <c r="F167" s="8">
        <f t="shared" si="18"/>
        <v>0</v>
      </c>
      <c r="G167" s="8">
        <f t="shared" si="18"/>
        <v>0</v>
      </c>
      <c r="H167" s="8">
        <f t="shared" si="18"/>
        <v>0</v>
      </c>
      <c r="I167" s="8">
        <f t="shared" si="18"/>
        <v>8</v>
      </c>
      <c r="J167" s="8">
        <f t="shared" si="17"/>
        <v>0</v>
      </c>
      <c r="K167" s="15">
        <v>7.7546296233776957E-4</v>
      </c>
      <c r="M167" s="8">
        <f t="shared" si="19"/>
        <v>262</v>
      </c>
      <c r="N167" s="9" t="s">
        <v>63</v>
      </c>
      <c r="O167" s="9" t="s">
        <v>16</v>
      </c>
      <c r="P167" s="9">
        <v>1641</v>
      </c>
      <c r="Q167" s="9">
        <v>486</v>
      </c>
      <c r="R167" s="8" t="s">
        <v>17</v>
      </c>
      <c r="S167" s="11">
        <v>247</v>
      </c>
      <c r="T167" s="10">
        <v>0.27</v>
      </c>
    </row>
    <row r="168" spans="1:20" x14ac:dyDescent="0.3">
      <c r="A168" s="7">
        <f t="shared" si="20"/>
        <v>163</v>
      </c>
      <c r="B168" s="8">
        <v>3443</v>
      </c>
      <c r="C168" s="9" t="str">
        <f t="shared" si="16"/>
        <v>2630x85185fe3A4e36079818Ba1d12705A9B6898997040xa60AdD2af71a4f50b3F94509E71a1e9DbDeA5dDa1894286unidade1770027</v>
      </c>
      <c r="D168" s="13" t="s">
        <v>230</v>
      </c>
      <c r="E168" s="8" t="s">
        <v>630</v>
      </c>
      <c r="F168" s="8">
        <f t="shared" si="18"/>
        <v>0</v>
      </c>
      <c r="G168" s="8">
        <f t="shared" si="18"/>
        <v>0</v>
      </c>
      <c r="H168" s="8">
        <f t="shared" si="18"/>
        <v>0</v>
      </c>
      <c r="I168" s="8">
        <f t="shared" si="18"/>
        <v>7</v>
      </c>
      <c r="J168" s="8">
        <f t="shared" si="17"/>
        <v>0</v>
      </c>
      <c r="K168" s="15">
        <v>7.0601852348772809E-4</v>
      </c>
      <c r="M168" s="8">
        <f t="shared" si="19"/>
        <v>263</v>
      </c>
      <c r="N168" s="9" t="s">
        <v>63</v>
      </c>
      <c r="O168" s="9" t="s">
        <v>16</v>
      </c>
      <c r="P168" s="9">
        <v>1894</v>
      </c>
      <c r="Q168" s="9">
        <v>286</v>
      </c>
      <c r="R168" s="8" t="s">
        <v>17</v>
      </c>
      <c r="S168" s="11">
        <v>177</v>
      </c>
      <c r="T168" s="10">
        <v>0.27</v>
      </c>
    </row>
    <row r="169" spans="1:20" x14ac:dyDescent="0.3">
      <c r="A169" s="7">
        <f t="shared" si="20"/>
        <v>164</v>
      </c>
      <c r="B169" s="8">
        <v>17416</v>
      </c>
      <c r="C169" s="9" t="str">
        <f t="shared" si="16"/>
        <v>2640x85185fe3A4e36079818Ba1d12705A9B6898997040xa60AdD2af71a4f50b3F94509E71a1e9DbDeA5dDa1146469unidade2490027</v>
      </c>
      <c r="D169" s="13" t="s">
        <v>231</v>
      </c>
      <c r="E169" s="8" t="s">
        <v>631</v>
      </c>
      <c r="F169" s="8">
        <f t="shared" si="18"/>
        <v>0</v>
      </c>
      <c r="G169" s="8">
        <f t="shared" si="18"/>
        <v>0</v>
      </c>
      <c r="H169" s="8">
        <f t="shared" si="18"/>
        <v>0</v>
      </c>
      <c r="I169" s="8">
        <f t="shared" si="18"/>
        <v>2</v>
      </c>
      <c r="J169" s="8">
        <f t="shared" si="17"/>
        <v>0</v>
      </c>
      <c r="K169" s="15">
        <v>3.5995370344608091E-3</v>
      </c>
      <c r="M169" s="8">
        <f t="shared" si="19"/>
        <v>264</v>
      </c>
      <c r="N169" s="9" t="s">
        <v>63</v>
      </c>
      <c r="O169" s="9" t="s">
        <v>16</v>
      </c>
      <c r="P169" s="9">
        <v>1146</v>
      </c>
      <c r="Q169" s="9">
        <v>469</v>
      </c>
      <c r="R169" s="8" t="s">
        <v>17</v>
      </c>
      <c r="S169" s="11">
        <v>249</v>
      </c>
      <c r="T169" s="10">
        <v>0.27</v>
      </c>
    </row>
    <row r="170" spans="1:20" x14ac:dyDescent="0.3">
      <c r="A170" s="7">
        <f t="shared" si="20"/>
        <v>165</v>
      </c>
      <c r="B170" s="8">
        <v>1089</v>
      </c>
      <c r="C170" s="9" t="str">
        <f t="shared" ref="C170:C233" si="21">M170&amp;N170&amp;O170&amp;P170&amp;Q170&amp;R170&amp;(S170*100)&amp;(T170*100)</f>
        <v>2650x85185fe3A4e36079818Ba1d12705A9B6898997040xa60AdD2af71a4f50b3F94509E71a1e9DbDeA5dDa1603363unidade2230027</v>
      </c>
      <c r="D170" s="13" t="s">
        <v>232</v>
      </c>
      <c r="E170" s="8" t="s">
        <v>632</v>
      </c>
      <c r="F170" s="8">
        <f t="shared" si="18"/>
        <v>0</v>
      </c>
      <c r="G170" s="8">
        <f t="shared" si="18"/>
        <v>0</v>
      </c>
      <c r="H170" s="8">
        <f t="shared" si="18"/>
        <v>0</v>
      </c>
      <c r="I170" s="8">
        <f t="shared" ref="F170:I233" si="22">IFERROR(VALUE(MID($E170,I$1,1)),1)</f>
        <v>0</v>
      </c>
      <c r="J170" s="8">
        <f t="shared" ref="J170:J233" si="23">SUM(F170:H170)</f>
        <v>0</v>
      </c>
      <c r="K170" s="15">
        <v>2.1990740788169205E-4</v>
      </c>
      <c r="M170" s="8">
        <f t="shared" si="19"/>
        <v>265</v>
      </c>
      <c r="N170" s="9" t="s">
        <v>63</v>
      </c>
      <c r="O170" s="9" t="s">
        <v>16</v>
      </c>
      <c r="P170" s="9">
        <v>1603</v>
      </c>
      <c r="Q170" s="9">
        <v>363</v>
      </c>
      <c r="R170" s="8" t="s">
        <v>17</v>
      </c>
      <c r="S170" s="11">
        <v>223</v>
      </c>
      <c r="T170" s="10">
        <v>0.27</v>
      </c>
    </row>
    <row r="171" spans="1:20" x14ac:dyDescent="0.3">
      <c r="A171" s="7">
        <f t="shared" si="20"/>
        <v>166</v>
      </c>
      <c r="B171" s="8">
        <v>9678</v>
      </c>
      <c r="C171" s="9" t="str">
        <f t="shared" si="21"/>
        <v>2660x85185fe3A4e36079818Ba1d12705A9B6898997040xa60AdD2af71a4f50b3F94509E71a1e9DbDeA5dDa1268306unidade1540027</v>
      </c>
      <c r="D171" s="13" t="s">
        <v>233</v>
      </c>
      <c r="E171" s="8" t="s">
        <v>633</v>
      </c>
      <c r="F171" s="8">
        <f t="shared" si="22"/>
        <v>0</v>
      </c>
      <c r="G171" s="8">
        <f t="shared" si="22"/>
        <v>0</v>
      </c>
      <c r="H171" s="8">
        <f t="shared" si="22"/>
        <v>0</v>
      </c>
      <c r="I171" s="8">
        <f t="shared" si="22"/>
        <v>1</v>
      </c>
      <c r="J171" s="8">
        <f t="shared" si="23"/>
        <v>0</v>
      </c>
      <c r="K171" s="15">
        <v>2.0138888867222704E-3</v>
      </c>
      <c r="M171" s="8">
        <f t="shared" si="19"/>
        <v>266</v>
      </c>
      <c r="N171" s="9" t="s">
        <v>63</v>
      </c>
      <c r="O171" s="9" t="s">
        <v>16</v>
      </c>
      <c r="P171" s="9">
        <v>1268</v>
      </c>
      <c r="Q171" s="9">
        <v>306</v>
      </c>
      <c r="R171" s="8" t="s">
        <v>17</v>
      </c>
      <c r="S171" s="11">
        <v>154</v>
      </c>
      <c r="T171" s="10">
        <v>0.27</v>
      </c>
    </row>
    <row r="172" spans="1:20" x14ac:dyDescent="0.3">
      <c r="A172" s="7">
        <f t="shared" si="20"/>
        <v>167</v>
      </c>
      <c r="B172" s="8">
        <v>2125</v>
      </c>
      <c r="C172" s="9" t="str">
        <f t="shared" si="21"/>
        <v>2670x85185fe3A4e36079818Ba1d12705A9B6898997040xa60AdD2af71a4f50b3F94509E71a1e9DbDeA5dDa1951464unidade1710027</v>
      </c>
      <c r="D172" s="13" t="s">
        <v>234</v>
      </c>
      <c r="E172" s="8" t="s">
        <v>634</v>
      </c>
      <c r="F172" s="8">
        <f t="shared" si="22"/>
        <v>0</v>
      </c>
      <c r="G172" s="8">
        <f t="shared" si="22"/>
        <v>0</v>
      </c>
      <c r="H172" s="8">
        <f t="shared" si="22"/>
        <v>0</v>
      </c>
      <c r="I172" s="8">
        <f t="shared" si="22"/>
        <v>9</v>
      </c>
      <c r="J172" s="8">
        <f t="shared" si="23"/>
        <v>0</v>
      </c>
      <c r="K172" s="15">
        <v>4.7453703882638365E-4</v>
      </c>
      <c r="M172" s="8">
        <f t="shared" si="19"/>
        <v>267</v>
      </c>
      <c r="N172" s="9" t="s">
        <v>63</v>
      </c>
      <c r="O172" s="9" t="s">
        <v>16</v>
      </c>
      <c r="P172" s="9">
        <v>1951</v>
      </c>
      <c r="Q172" s="9">
        <v>464</v>
      </c>
      <c r="R172" s="8" t="s">
        <v>17</v>
      </c>
      <c r="S172" s="11">
        <v>171</v>
      </c>
      <c r="T172" s="10">
        <v>0.27</v>
      </c>
    </row>
    <row r="173" spans="1:20" x14ac:dyDescent="0.3">
      <c r="A173" s="7">
        <f t="shared" si="20"/>
        <v>168</v>
      </c>
      <c r="B173" s="8">
        <v>850</v>
      </c>
      <c r="C173" s="9" t="str">
        <f t="shared" si="21"/>
        <v>2680x85185fe3A4e36079818Ba1d12705A9B6898997040xa60AdD2af71a4f50b3F94509E71a1e9DbDeA5dDa1003105unidade1380027</v>
      </c>
      <c r="D173" s="13" t="s">
        <v>235</v>
      </c>
      <c r="E173" s="8" t="s">
        <v>635</v>
      </c>
      <c r="F173" s="8">
        <f t="shared" si="22"/>
        <v>0</v>
      </c>
      <c r="G173" s="8">
        <f t="shared" si="22"/>
        <v>0</v>
      </c>
      <c r="H173" s="8">
        <f t="shared" si="22"/>
        <v>0</v>
      </c>
      <c r="I173" s="8">
        <f t="shared" si="22"/>
        <v>1</v>
      </c>
      <c r="J173" s="8">
        <f t="shared" si="23"/>
        <v>0</v>
      </c>
      <c r="K173" s="15">
        <v>1.7361110803904012E-4</v>
      </c>
      <c r="M173" s="8">
        <f t="shared" si="19"/>
        <v>268</v>
      </c>
      <c r="N173" s="9" t="s">
        <v>63</v>
      </c>
      <c r="O173" s="9" t="s">
        <v>16</v>
      </c>
      <c r="P173" s="9">
        <v>1003</v>
      </c>
      <c r="Q173" s="9">
        <v>105</v>
      </c>
      <c r="R173" s="8" t="s">
        <v>17</v>
      </c>
      <c r="S173" s="11">
        <v>138</v>
      </c>
      <c r="T173" s="10">
        <v>0.27</v>
      </c>
    </row>
    <row r="174" spans="1:20" x14ac:dyDescent="0.3">
      <c r="A174" s="7">
        <f t="shared" si="20"/>
        <v>169</v>
      </c>
      <c r="B174" s="8">
        <v>6031</v>
      </c>
      <c r="C174" s="9" t="str">
        <f t="shared" si="21"/>
        <v>2690x85185fe3A4e36079818Ba1d12705A9B6898997040xa60AdD2af71a4f50b3F94509E71a1e9DbDeA5dDa1902286unidade2310027</v>
      </c>
      <c r="D174" s="13" t="s">
        <v>236</v>
      </c>
      <c r="E174" s="8" t="s">
        <v>636</v>
      </c>
      <c r="F174" s="8">
        <f t="shared" si="22"/>
        <v>0</v>
      </c>
      <c r="G174" s="8">
        <f t="shared" si="22"/>
        <v>0</v>
      </c>
      <c r="H174" s="8">
        <f t="shared" si="22"/>
        <v>0</v>
      </c>
      <c r="I174" s="8">
        <f t="shared" si="22"/>
        <v>8</v>
      </c>
      <c r="J174" s="8">
        <f t="shared" si="23"/>
        <v>0</v>
      </c>
      <c r="K174" s="15">
        <v>1.2731481474475004E-3</v>
      </c>
      <c r="M174" s="8">
        <f t="shared" si="19"/>
        <v>269</v>
      </c>
      <c r="N174" s="9" t="s">
        <v>63</v>
      </c>
      <c r="O174" s="9" t="s">
        <v>16</v>
      </c>
      <c r="P174" s="9">
        <v>1902</v>
      </c>
      <c r="Q174" s="9">
        <v>286</v>
      </c>
      <c r="R174" s="8" t="s">
        <v>17</v>
      </c>
      <c r="S174" s="11">
        <v>231</v>
      </c>
      <c r="T174" s="10">
        <v>0.27</v>
      </c>
    </row>
    <row r="175" spans="1:20" x14ac:dyDescent="0.3">
      <c r="A175" s="7">
        <f t="shared" si="20"/>
        <v>170</v>
      </c>
      <c r="B175" s="8">
        <v>5389</v>
      </c>
      <c r="C175" s="9" t="str">
        <f t="shared" si="21"/>
        <v>2700x85185fe3A4e36079818Ba1d12705A9B6898997040xa60AdD2af71a4f50b3F94509E71a1e9DbDeA5dDa1434426unidade2170027</v>
      </c>
      <c r="D175" s="13" t="s">
        <v>237</v>
      </c>
      <c r="E175" s="8" t="s">
        <v>637</v>
      </c>
      <c r="F175" s="8">
        <f t="shared" si="22"/>
        <v>0</v>
      </c>
      <c r="G175" s="8">
        <f t="shared" si="22"/>
        <v>0</v>
      </c>
      <c r="H175" s="8">
        <f t="shared" si="22"/>
        <v>0</v>
      </c>
      <c r="I175" s="8">
        <f t="shared" si="22"/>
        <v>1</v>
      </c>
      <c r="J175" s="8">
        <f t="shared" si="23"/>
        <v>0</v>
      </c>
      <c r="K175" s="15">
        <v>1.1226851856918074E-3</v>
      </c>
      <c r="M175" s="8">
        <f t="shared" si="19"/>
        <v>270</v>
      </c>
      <c r="N175" s="9" t="s">
        <v>63</v>
      </c>
      <c r="O175" s="9" t="s">
        <v>16</v>
      </c>
      <c r="P175" s="9">
        <v>1434</v>
      </c>
      <c r="Q175" s="9">
        <v>426</v>
      </c>
      <c r="R175" s="8" t="s">
        <v>17</v>
      </c>
      <c r="S175" s="11">
        <v>217</v>
      </c>
      <c r="T175" s="10">
        <v>0.27</v>
      </c>
    </row>
    <row r="176" spans="1:20" x14ac:dyDescent="0.3">
      <c r="A176" s="7">
        <f t="shared" si="20"/>
        <v>171</v>
      </c>
      <c r="B176" s="8">
        <v>3372</v>
      </c>
      <c r="C176" s="9" t="str">
        <f t="shared" si="21"/>
        <v>2710x85185fe3A4e36079818Ba1d12705A9B6898997040xa60AdD2af71a4f50b3F94509E71a1e9DbDeA5dDa1519434unidade820027</v>
      </c>
      <c r="D176" s="13" t="s">
        <v>238</v>
      </c>
      <c r="E176" s="8" t="s">
        <v>638</v>
      </c>
      <c r="F176" s="8">
        <f t="shared" si="22"/>
        <v>0</v>
      </c>
      <c r="G176" s="8">
        <f t="shared" si="22"/>
        <v>0</v>
      </c>
      <c r="H176" s="8">
        <f t="shared" si="22"/>
        <v>0</v>
      </c>
      <c r="I176" s="8">
        <f t="shared" si="22"/>
        <v>0</v>
      </c>
      <c r="J176" s="8">
        <f t="shared" si="23"/>
        <v>0</v>
      </c>
      <c r="K176" s="15">
        <v>6.944444467080757E-4</v>
      </c>
      <c r="M176" s="8">
        <f t="shared" si="19"/>
        <v>271</v>
      </c>
      <c r="N176" s="9" t="s">
        <v>63</v>
      </c>
      <c r="O176" s="9" t="s">
        <v>16</v>
      </c>
      <c r="P176" s="9">
        <v>1519</v>
      </c>
      <c r="Q176" s="9">
        <v>434</v>
      </c>
      <c r="R176" s="8" t="s">
        <v>17</v>
      </c>
      <c r="S176" s="11">
        <v>82</v>
      </c>
      <c r="T176" s="10">
        <v>0.27</v>
      </c>
    </row>
    <row r="177" spans="1:20" x14ac:dyDescent="0.3">
      <c r="A177" s="7">
        <f t="shared" si="20"/>
        <v>172</v>
      </c>
      <c r="B177" s="8">
        <v>337</v>
      </c>
      <c r="C177" s="9" t="str">
        <f t="shared" si="21"/>
        <v>2720x85185fe3A4e36079818Ba1d12705A9B6898997040xa60AdD2af71a4f50b3F94509E71a1e9DbDeA5dDa1531371unidade1280027</v>
      </c>
      <c r="D177" s="13" t="s">
        <v>239</v>
      </c>
      <c r="E177" s="8" t="s">
        <v>639</v>
      </c>
      <c r="F177" s="8">
        <f t="shared" si="22"/>
        <v>0</v>
      </c>
      <c r="G177" s="8">
        <f t="shared" si="22"/>
        <v>0</v>
      </c>
      <c r="H177" s="8">
        <f t="shared" si="22"/>
        <v>0</v>
      </c>
      <c r="I177" s="8">
        <f t="shared" si="22"/>
        <v>5</v>
      </c>
      <c r="J177" s="8">
        <f t="shared" si="23"/>
        <v>0</v>
      </c>
      <c r="K177" s="15">
        <v>6.9444446125999093E-5</v>
      </c>
      <c r="M177" s="8">
        <f t="shared" si="19"/>
        <v>272</v>
      </c>
      <c r="N177" s="9" t="s">
        <v>63</v>
      </c>
      <c r="O177" s="9" t="s">
        <v>16</v>
      </c>
      <c r="P177" s="9">
        <v>1531</v>
      </c>
      <c r="Q177" s="9">
        <v>371</v>
      </c>
      <c r="R177" s="8" t="s">
        <v>17</v>
      </c>
      <c r="S177" s="11">
        <v>128</v>
      </c>
      <c r="T177" s="10">
        <v>0.27</v>
      </c>
    </row>
    <row r="178" spans="1:20" x14ac:dyDescent="0.3">
      <c r="A178" s="7">
        <f t="shared" si="20"/>
        <v>173</v>
      </c>
      <c r="B178" s="8">
        <v>3071</v>
      </c>
      <c r="C178" s="9" t="str">
        <f t="shared" si="21"/>
        <v>2730x85185fe3A4e36079818Ba1d12705A9B6898997040xa60AdD2af71a4f50b3F94509E71a1e9DbDeA5dDa1194386unidade1550027</v>
      </c>
      <c r="D178" s="13" t="s">
        <v>240</v>
      </c>
      <c r="E178" s="8" t="s">
        <v>640</v>
      </c>
      <c r="F178" s="8">
        <f t="shared" si="22"/>
        <v>0</v>
      </c>
      <c r="G178" s="8">
        <f t="shared" si="22"/>
        <v>0</v>
      </c>
      <c r="H178" s="8">
        <f t="shared" si="22"/>
        <v>0</v>
      </c>
      <c r="I178" s="8">
        <f t="shared" si="22"/>
        <v>4</v>
      </c>
      <c r="J178" s="8">
        <f t="shared" si="23"/>
        <v>0</v>
      </c>
      <c r="K178" s="15">
        <v>6.8287036992842332E-4</v>
      </c>
      <c r="M178" s="8">
        <f t="shared" si="19"/>
        <v>273</v>
      </c>
      <c r="N178" s="9" t="s">
        <v>63</v>
      </c>
      <c r="O178" s="9" t="s">
        <v>16</v>
      </c>
      <c r="P178" s="9">
        <v>1194</v>
      </c>
      <c r="Q178" s="9">
        <v>386</v>
      </c>
      <c r="R178" s="8" t="s">
        <v>17</v>
      </c>
      <c r="S178" s="11">
        <v>155</v>
      </c>
      <c r="T178" s="10">
        <v>0.27</v>
      </c>
    </row>
    <row r="179" spans="1:20" x14ac:dyDescent="0.3">
      <c r="A179" s="7">
        <f t="shared" si="20"/>
        <v>174</v>
      </c>
      <c r="B179" s="8">
        <v>2417</v>
      </c>
      <c r="C179" s="9" t="str">
        <f t="shared" si="21"/>
        <v>2740x85185fe3A4e36079818Ba1d12705A9B6898997040xa60AdD2af71a4f50b3F94509E71a1e9DbDeA5dDa1027251unidade1690027</v>
      </c>
      <c r="D179" s="13" t="s">
        <v>241</v>
      </c>
      <c r="E179" s="8" t="s">
        <v>641</v>
      </c>
      <c r="F179" s="8">
        <f t="shared" si="22"/>
        <v>0</v>
      </c>
      <c r="G179" s="8">
        <f t="shared" si="22"/>
        <v>0</v>
      </c>
      <c r="H179" s="8">
        <f t="shared" si="22"/>
        <v>0</v>
      </c>
      <c r="I179" s="8">
        <f t="shared" si="22"/>
        <v>1</v>
      </c>
      <c r="J179" s="8">
        <f t="shared" si="23"/>
        <v>0</v>
      </c>
      <c r="K179" s="15">
        <v>5.0925925461342558E-4</v>
      </c>
      <c r="M179" s="8">
        <f t="shared" si="19"/>
        <v>274</v>
      </c>
      <c r="N179" s="9" t="s">
        <v>63</v>
      </c>
      <c r="O179" s="9" t="s">
        <v>16</v>
      </c>
      <c r="P179" s="9">
        <v>1027</v>
      </c>
      <c r="Q179" s="9">
        <v>251</v>
      </c>
      <c r="R179" s="8" t="s">
        <v>17</v>
      </c>
      <c r="S179" s="11">
        <v>169</v>
      </c>
      <c r="T179" s="10">
        <v>0.27</v>
      </c>
    </row>
    <row r="180" spans="1:20" x14ac:dyDescent="0.3">
      <c r="A180" s="7">
        <f t="shared" si="20"/>
        <v>175</v>
      </c>
      <c r="B180" s="8">
        <v>4983</v>
      </c>
      <c r="C180" s="9" t="str">
        <f t="shared" si="21"/>
        <v>2750x85185fe3A4e36079818Ba1d12705A9B6898997040xa60AdD2af71a4f50b3F94509E71a1e9DbDeA5dDa1209108unidade990027</v>
      </c>
      <c r="D180" s="13" t="s">
        <v>242</v>
      </c>
      <c r="E180" s="8" t="s">
        <v>642</v>
      </c>
      <c r="F180" s="8">
        <f t="shared" si="22"/>
        <v>0</v>
      </c>
      <c r="G180" s="8">
        <f t="shared" si="22"/>
        <v>0</v>
      </c>
      <c r="H180" s="8">
        <f t="shared" si="22"/>
        <v>0</v>
      </c>
      <c r="I180" s="8">
        <f t="shared" si="22"/>
        <v>2</v>
      </c>
      <c r="J180" s="8">
        <f t="shared" si="23"/>
        <v>0</v>
      </c>
      <c r="K180" s="15">
        <v>1.0416666700621136E-3</v>
      </c>
      <c r="M180" s="8">
        <f t="shared" si="19"/>
        <v>275</v>
      </c>
      <c r="N180" s="9" t="s">
        <v>63</v>
      </c>
      <c r="O180" s="9" t="s">
        <v>16</v>
      </c>
      <c r="P180" s="9">
        <v>1209</v>
      </c>
      <c r="Q180" s="9">
        <v>108</v>
      </c>
      <c r="R180" s="8" t="s">
        <v>17</v>
      </c>
      <c r="S180" s="11">
        <v>99</v>
      </c>
      <c r="T180" s="10">
        <v>0.27</v>
      </c>
    </row>
    <row r="181" spans="1:20" x14ac:dyDescent="0.3">
      <c r="A181" s="7">
        <f t="shared" si="20"/>
        <v>176</v>
      </c>
      <c r="B181" s="8">
        <v>4989</v>
      </c>
      <c r="C181" s="9" t="str">
        <f t="shared" si="21"/>
        <v>2760x85185fe3A4e36079818Ba1d12705A9B6898997040xa60AdD2af71a4f50b3F94509E71a1e9DbDeA5dDa1059455unidade860027</v>
      </c>
      <c r="D181" s="13" t="s">
        <v>243</v>
      </c>
      <c r="E181" s="8" t="s">
        <v>643</v>
      </c>
      <c r="F181" s="8">
        <f t="shared" si="22"/>
        <v>0</v>
      </c>
      <c r="G181" s="8">
        <f t="shared" si="22"/>
        <v>0</v>
      </c>
      <c r="H181" s="8">
        <f t="shared" si="22"/>
        <v>0</v>
      </c>
      <c r="I181" s="8">
        <f t="shared" si="22"/>
        <v>1</v>
      </c>
      <c r="J181" s="8">
        <f t="shared" si="23"/>
        <v>0</v>
      </c>
      <c r="K181" s="15">
        <v>1.0300925932824612E-3</v>
      </c>
      <c r="M181" s="8">
        <f t="shared" si="19"/>
        <v>276</v>
      </c>
      <c r="N181" s="9" t="s">
        <v>63</v>
      </c>
      <c r="O181" s="9" t="s">
        <v>16</v>
      </c>
      <c r="P181" s="9">
        <v>1059</v>
      </c>
      <c r="Q181" s="9">
        <v>455</v>
      </c>
      <c r="R181" s="8" t="s">
        <v>17</v>
      </c>
      <c r="S181" s="11">
        <v>86</v>
      </c>
      <c r="T181" s="10">
        <v>0.27</v>
      </c>
    </row>
    <row r="182" spans="1:20" x14ac:dyDescent="0.3">
      <c r="A182" s="7">
        <f t="shared" si="20"/>
        <v>177</v>
      </c>
      <c r="B182" s="8">
        <v>2123</v>
      </c>
      <c r="C182" s="9" t="str">
        <f t="shared" si="21"/>
        <v>2770x85185fe3A4e36079818Ba1d12705A9B6898997040xa60AdD2af71a4f50b3F94509E71a1e9DbDeA5dDa1497366unidade2070027</v>
      </c>
      <c r="D182" s="13" t="s">
        <v>244</v>
      </c>
      <c r="E182" s="8" t="s">
        <v>644</v>
      </c>
      <c r="F182" s="8">
        <f t="shared" si="22"/>
        <v>0</v>
      </c>
      <c r="G182" s="8">
        <f t="shared" si="22"/>
        <v>0</v>
      </c>
      <c r="H182" s="8">
        <f t="shared" si="22"/>
        <v>0</v>
      </c>
      <c r="I182" s="8">
        <f t="shared" si="22"/>
        <v>9</v>
      </c>
      <c r="J182" s="8">
        <f t="shared" si="23"/>
        <v>0</v>
      </c>
      <c r="K182" s="15">
        <v>4.398148157633841E-4</v>
      </c>
      <c r="M182" s="8">
        <f t="shared" si="19"/>
        <v>277</v>
      </c>
      <c r="N182" s="9" t="s">
        <v>63</v>
      </c>
      <c r="O182" s="9" t="s">
        <v>16</v>
      </c>
      <c r="P182" s="9">
        <v>1497</v>
      </c>
      <c r="Q182" s="9">
        <v>366</v>
      </c>
      <c r="R182" s="8" t="s">
        <v>17</v>
      </c>
      <c r="S182" s="11">
        <v>207</v>
      </c>
      <c r="T182" s="10">
        <v>0.27</v>
      </c>
    </row>
    <row r="183" spans="1:20" x14ac:dyDescent="0.3">
      <c r="A183" s="7">
        <f t="shared" si="20"/>
        <v>178</v>
      </c>
      <c r="B183" s="8">
        <v>3480</v>
      </c>
      <c r="C183" s="9" t="str">
        <f t="shared" si="21"/>
        <v>2780x85185fe3A4e36079818Ba1d12705A9B6898997040xa60AdD2af71a4f50b3F94509E71a1e9DbDeA5dDa1571447unidade1550027</v>
      </c>
      <c r="D183" s="13" t="s">
        <v>245</v>
      </c>
      <c r="E183" s="8" t="s">
        <v>645</v>
      </c>
      <c r="F183" s="8">
        <f t="shared" si="22"/>
        <v>0</v>
      </c>
      <c r="G183" s="8">
        <f t="shared" si="22"/>
        <v>0</v>
      </c>
      <c r="H183" s="8">
        <f t="shared" si="22"/>
        <v>0</v>
      </c>
      <c r="I183" s="8">
        <f t="shared" si="22"/>
        <v>2</v>
      </c>
      <c r="J183" s="8">
        <f t="shared" si="23"/>
        <v>0</v>
      </c>
      <c r="K183" s="15">
        <v>7.1759259299142286E-4</v>
      </c>
      <c r="M183" s="8">
        <f t="shared" si="19"/>
        <v>278</v>
      </c>
      <c r="N183" s="9" t="s">
        <v>63</v>
      </c>
      <c r="O183" s="9" t="s">
        <v>16</v>
      </c>
      <c r="P183" s="9">
        <v>1571</v>
      </c>
      <c r="Q183" s="9">
        <v>447</v>
      </c>
      <c r="R183" s="8" t="s">
        <v>17</v>
      </c>
      <c r="S183" s="11">
        <v>155</v>
      </c>
      <c r="T183" s="10">
        <v>0.27</v>
      </c>
    </row>
    <row r="184" spans="1:20" x14ac:dyDescent="0.3">
      <c r="A184" s="7">
        <f t="shared" si="20"/>
        <v>179</v>
      </c>
      <c r="B184" s="8">
        <v>1479</v>
      </c>
      <c r="C184" s="9" t="str">
        <f t="shared" si="21"/>
        <v>2790x85185fe3A4e36079818Ba1d12705A9B6898997040xa60AdD2af71a4f50b3F94509E71a1e9DbDeA5dDa1304480unidade800027</v>
      </c>
      <c r="D184" s="13" t="s">
        <v>246</v>
      </c>
      <c r="E184" s="8" t="s">
        <v>646</v>
      </c>
      <c r="F184" s="8">
        <f t="shared" si="22"/>
        <v>0</v>
      </c>
      <c r="G184" s="8">
        <f t="shared" si="22"/>
        <v>0</v>
      </c>
      <c r="H184" s="8">
        <f t="shared" si="22"/>
        <v>0</v>
      </c>
      <c r="I184" s="8">
        <f t="shared" si="22"/>
        <v>7</v>
      </c>
      <c r="J184" s="8">
        <f t="shared" si="23"/>
        <v>0</v>
      </c>
      <c r="K184" s="15">
        <v>3.0092592351138592E-4</v>
      </c>
      <c r="M184" s="8">
        <f t="shared" si="19"/>
        <v>279</v>
      </c>
      <c r="N184" s="9" t="s">
        <v>63</v>
      </c>
      <c r="O184" s="9" t="s">
        <v>16</v>
      </c>
      <c r="P184" s="9">
        <v>1304</v>
      </c>
      <c r="Q184" s="9">
        <v>480</v>
      </c>
      <c r="R184" s="8" t="s">
        <v>17</v>
      </c>
      <c r="S184" s="11">
        <v>80</v>
      </c>
      <c r="T184" s="10">
        <v>0.27</v>
      </c>
    </row>
    <row r="185" spans="1:20" x14ac:dyDescent="0.3">
      <c r="A185" s="7">
        <f t="shared" si="20"/>
        <v>180</v>
      </c>
      <c r="B185" s="8">
        <v>631</v>
      </c>
      <c r="C185" s="9" t="str">
        <f t="shared" si="21"/>
        <v>2800x85185fe3A4e36079818Ba1d12705A9B6898997040xa60AdD2af71a4f50b3F94509E71a1e9DbDeA5dDa1693196unidade1490027</v>
      </c>
      <c r="D185" s="13" t="s">
        <v>247</v>
      </c>
      <c r="E185" s="8" t="s">
        <v>647</v>
      </c>
      <c r="F185" s="8">
        <f t="shared" si="22"/>
        <v>0</v>
      </c>
      <c r="G185" s="8">
        <f t="shared" si="22"/>
        <v>0</v>
      </c>
      <c r="H185" s="8">
        <f t="shared" si="22"/>
        <v>0</v>
      </c>
      <c r="I185" s="8">
        <f t="shared" si="22"/>
        <v>1</v>
      </c>
      <c r="J185" s="8">
        <f t="shared" si="23"/>
        <v>0</v>
      </c>
      <c r="K185" s="15">
        <v>1.3888889225199819E-4</v>
      </c>
      <c r="M185" s="8">
        <f t="shared" si="19"/>
        <v>280</v>
      </c>
      <c r="N185" s="9" t="s">
        <v>63</v>
      </c>
      <c r="O185" s="9" t="s">
        <v>16</v>
      </c>
      <c r="P185" s="9">
        <v>1693</v>
      </c>
      <c r="Q185" s="9">
        <v>196</v>
      </c>
      <c r="R185" s="8" t="s">
        <v>17</v>
      </c>
      <c r="S185" s="11">
        <v>149</v>
      </c>
      <c r="T185" s="10">
        <v>0.27</v>
      </c>
    </row>
    <row r="186" spans="1:20" x14ac:dyDescent="0.3">
      <c r="A186" s="7">
        <f t="shared" si="20"/>
        <v>181</v>
      </c>
      <c r="B186" s="8">
        <v>12278</v>
      </c>
      <c r="C186" s="9" t="str">
        <f t="shared" si="21"/>
        <v>2810x85185fe3A4e36079818Ba1d12705A9B6898997040xa60AdD2af71a4f50b3F94509E71a1e9DbDeA5dDa1643161unidade2440027</v>
      </c>
      <c r="D186" s="13" t="s">
        <v>248</v>
      </c>
      <c r="E186" s="8" t="s">
        <v>648</v>
      </c>
      <c r="F186" s="8">
        <f t="shared" si="22"/>
        <v>0</v>
      </c>
      <c r="G186" s="8">
        <f t="shared" si="22"/>
        <v>0</v>
      </c>
      <c r="H186" s="8">
        <f t="shared" si="22"/>
        <v>0</v>
      </c>
      <c r="I186" s="8">
        <f t="shared" si="22"/>
        <v>0</v>
      </c>
      <c r="J186" s="8">
        <f t="shared" si="23"/>
        <v>0</v>
      </c>
      <c r="K186" s="15">
        <v>2.5231481486116536E-3</v>
      </c>
      <c r="M186" s="8">
        <f t="shared" si="19"/>
        <v>281</v>
      </c>
      <c r="N186" s="9" t="s">
        <v>63</v>
      </c>
      <c r="O186" s="9" t="s">
        <v>16</v>
      </c>
      <c r="P186" s="9">
        <v>1643</v>
      </c>
      <c r="Q186" s="9">
        <v>161</v>
      </c>
      <c r="R186" s="8" t="s">
        <v>17</v>
      </c>
      <c r="S186" s="11">
        <v>244</v>
      </c>
      <c r="T186" s="10">
        <v>0.27</v>
      </c>
    </row>
    <row r="187" spans="1:20" x14ac:dyDescent="0.3">
      <c r="A187" s="7">
        <f t="shared" si="20"/>
        <v>182</v>
      </c>
      <c r="B187" s="8">
        <v>3399</v>
      </c>
      <c r="C187" s="9" t="str">
        <f t="shared" si="21"/>
        <v>2820x85185fe3A4e36079818Ba1d12705A9B6898997040xa60AdD2af71a4f50b3F94509E71a1e9DbDeA5dDa1220318unidade510027</v>
      </c>
      <c r="D187" s="13" t="s">
        <v>249</v>
      </c>
      <c r="E187" s="8" t="s">
        <v>649</v>
      </c>
      <c r="F187" s="8">
        <f t="shared" si="22"/>
        <v>0</v>
      </c>
      <c r="G187" s="8">
        <f t="shared" si="22"/>
        <v>0</v>
      </c>
      <c r="H187" s="8">
        <f t="shared" si="22"/>
        <v>0</v>
      </c>
      <c r="I187" s="8">
        <f t="shared" si="22"/>
        <v>1</v>
      </c>
      <c r="J187" s="8">
        <f t="shared" si="23"/>
        <v>0</v>
      </c>
      <c r="K187" s="15">
        <v>7.0601851621177047E-4</v>
      </c>
      <c r="M187" s="8">
        <f t="shared" si="19"/>
        <v>282</v>
      </c>
      <c r="N187" s="9" t="s">
        <v>63</v>
      </c>
      <c r="O187" s="9" t="s">
        <v>16</v>
      </c>
      <c r="P187" s="9">
        <v>1220</v>
      </c>
      <c r="Q187" s="9">
        <v>318</v>
      </c>
      <c r="R187" s="8" t="s">
        <v>17</v>
      </c>
      <c r="S187" s="11">
        <v>51</v>
      </c>
      <c r="T187" s="10">
        <v>0.27</v>
      </c>
    </row>
    <row r="188" spans="1:20" x14ac:dyDescent="0.3">
      <c r="A188" s="7">
        <f t="shared" si="20"/>
        <v>183</v>
      </c>
      <c r="B188" s="8">
        <v>4306</v>
      </c>
      <c r="C188" s="9" t="str">
        <f t="shared" si="21"/>
        <v>2830x85185fe3A4e36079818Ba1d12705A9B6898997040xa60AdD2af71a4f50b3F94509E71a1e9DbDeA5dDa1586458unidade620027</v>
      </c>
      <c r="D188" s="13" t="s">
        <v>250</v>
      </c>
      <c r="E188" s="8" t="s">
        <v>650</v>
      </c>
      <c r="F188" s="8">
        <f t="shared" si="22"/>
        <v>0</v>
      </c>
      <c r="G188" s="8">
        <f t="shared" si="22"/>
        <v>0</v>
      </c>
      <c r="H188" s="8">
        <f t="shared" si="22"/>
        <v>0</v>
      </c>
      <c r="I188" s="8">
        <f t="shared" si="22"/>
        <v>1</v>
      </c>
      <c r="J188" s="8">
        <f t="shared" si="23"/>
        <v>0</v>
      </c>
      <c r="K188" s="15">
        <v>9.0277777781011537E-4</v>
      </c>
      <c r="M188" s="8">
        <f t="shared" si="19"/>
        <v>283</v>
      </c>
      <c r="N188" s="9" t="s">
        <v>63</v>
      </c>
      <c r="O188" s="9" t="s">
        <v>16</v>
      </c>
      <c r="P188" s="9">
        <v>1586</v>
      </c>
      <c r="Q188" s="9">
        <v>458</v>
      </c>
      <c r="R188" s="8" t="s">
        <v>17</v>
      </c>
      <c r="S188" s="11">
        <v>62</v>
      </c>
      <c r="T188" s="10">
        <v>0.27</v>
      </c>
    </row>
    <row r="189" spans="1:20" x14ac:dyDescent="0.3">
      <c r="A189" s="7">
        <f t="shared" si="20"/>
        <v>184</v>
      </c>
      <c r="B189" s="8">
        <v>9783</v>
      </c>
      <c r="C189" s="9" t="str">
        <f t="shared" si="21"/>
        <v>2840x85185fe3A4e36079818Ba1d12705A9B6898997040xa60AdD2af71a4f50b3F94509E71a1e9DbDeA5dDa1024175unidade1660027</v>
      </c>
      <c r="D189" s="13" t="s">
        <v>251</v>
      </c>
      <c r="E189" s="8" t="s">
        <v>651</v>
      </c>
      <c r="F189" s="8">
        <f t="shared" si="22"/>
        <v>0</v>
      </c>
      <c r="G189" s="8">
        <f t="shared" si="22"/>
        <v>0</v>
      </c>
      <c r="H189" s="8">
        <f t="shared" si="22"/>
        <v>0</v>
      </c>
      <c r="I189" s="8">
        <f t="shared" si="22"/>
        <v>1</v>
      </c>
      <c r="J189" s="8">
        <f t="shared" si="23"/>
        <v>0</v>
      </c>
      <c r="K189" s="15">
        <v>2.0254629635019228E-3</v>
      </c>
      <c r="M189" s="8">
        <f t="shared" si="19"/>
        <v>284</v>
      </c>
      <c r="N189" s="9" t="s">
        <v>63</v>
      </c>
      <c r="O189" s="9" t="s">
        <v>16</v>
      </c>
      <c r="P189" s="9">
        <v>1024</v>
      </c>
      <c r="Q189" s="9">
        <v>175</v>
      </c>
      <c r="R189" s="8" t="s">
        <v>17</v>
      </c>
      <c r="S189" s="11">
        <v>166</v>
      </c>
      <c r="T189" s="10">
        <v>0.27</v>
      </c>
    </row>
    <row r="190" spans="1:20" x14ac:dyDescent="0.3">
      <c r="A190" s="7">
        <f t="shared" si="20"/>
        <v>185</v>
      </c>
      <c r="B190" s="8">
        <v>1126</v>
      </c>
      <c r="C190" s="9" t="str">
        <f t="shared" si="21"/>
        <v>2850x85185fe3A4e36079818Ba1d12705A9B6898997040xa60AdD2af71a4f50b3F94509E71a1e9DbDeA5dDa1116177unidade830027</v>
      </c>
      <c r="D190" s="13" t="s">
        <v>252</v>
      </c>
      <c r="E190" s="8" t="s">
        <v>652</v>
      </c>
      <c r="F190" s="8">
        <f t="shared" si="22"/>
        <v>0</v>
      </c>
      <c r="G190" s="8">
        <f t="shared" si="22"/>
        <v>0</v>
      </c>
      <c r="H190" s="8">
        <f t="shared" si="22"/>
        <v>0</v>
      </c>
      <c r="I190" s="8">
        <f t="shared" si="22"/>
        <v>1</v>
      </c>
      <c r="J190" s="8">
        <f t="shared" si="23"/>
        <v>0</v>
      </c>
      <c r="K190" s="15">
        <v>2.3148147738538682E-4</v>
      </c>
      <c r="M190" s="8">
        <f t="shared" si="19"/>
        <v>285</v>
      </c>
      <c r="N190" s="9" t="s">
        <v>63</v>
      </c>
      <c r="O190" s="9" t="s">
        <v>16</v>
      </c>
      <c r="P190" s="9">
        <v>1116</v>
      </c>
      <c r="Q190" s="9">
        <v>177</v>
      </c>
      <c r="R190" s="8" t="s">
        <v>17</v>
      </c>
      <c r="S190" s="11">
        <v>83</v>
      </c>
      <c r="T190" s="10">
        <v>0.27</v>
      </c>
    </row>
    <row r="191" spans="1:20" x14ac:dyDescent="0.3">
      <c r="A191" s="7">
        <f t="shared" si="20"/>
        <v>186</v>
      </c>
      <c r="B191" s="8">
        <v>4304</v>
      </c>
      <c r="C191" s="9" t="str">
        <f t="shared" si="21"/>
        <v>2860x85185fe3A4e36079818Ba1d12705A9B6898997040xa60AdD2af71a4f50b3F94509E71a1e9DbDeA5dDa1091190unidade2000027</v>
      </c>
      <c r="D191" s="13" t="s">
        <v>253</v>
      </c>
      <c r="E191" s="8" t="s">
        <v>653</v>
      </c>
      <c r="F191" s="8">
        <f t="shared" si="22"/>
        <v>0</v>
      </c>
      <c r="G191" s="8">
        <f t="shared" si="22"/>
        <v>0</v>
      </c>
      <c r="H191" s="8">
        <f t="shared" si="22"/>
        <v>0</v>
      </c>
      <c r="I191" s="8">
        <f t="shared" si="22"/>
        <v>1</v>
      </c>
      <c r="J191" s="8">
        <f t="shared" si="23"/>
        <v>0</v>
      </c>
      <c r="K191" s="15">
        <v>9.0277777781011537E-4</v>
      </c>
      <c r="M191" s="8">
        <f t="shared" si="19"/>
        <v>286</v>
      </c>
      <c r="N191" s="9" t="s">
        <v>63</v>
      </c>
      <c r="O191" s="9" t="s">
        <v>16</v>
      </c>
      <c r="P191" s="9">
        <v>1091</v>
      </c>
      <c r="Q191" s="9">
        <v>190</v>
      </c>
      <c r="R191" s="8" t="s">
        <v>17</v>
      </c>
      <c r="S191" s="11">
        <v>200</v>
      </c>
      <c r="T191" s="10">
        <v>0.27</v>
      </c>
    </row>
    <row r="192" spans="1:20" x14ac:dyDescent="0.3">
      <c r="A192" s="7">
        <f t="shared" si="20"/>
        <v>187</v>
      </c>
      <c r="B192" s="8">
        <v>1934</v>
      </c>
      <c r="C192" s="9" t="str">
        <f t="shared" si="21"/>
        <v>2870x85185fe3A4e36079818Ba1d12705A9B6898997040xa60AdD2af71a4f50b3F94509E71a1e9DbDeA5dDa1577365unidade1120027</v>
      </c>
      <c r="D192" s="13" t="s">
        <v>254</v>
      </c>
      <c r="E192" s="8" t="s">
        <v>654</v>
      </c>
      <c r="F192" s="8">
        <f t="shared" si="22"/>
        <v>0</v>
      </c>
      <c r="G192" s="8">
        <f t="shared" si="22"/>
        <v>0</v>
      </c>
      <c r="H192" s="8">
        <f t="shared" si="22"/>
        <v>0</v>
      </c>
      <c r="I192" s="8">
        <f t="shared" si="22"/>
        <v>1</v>
      </c>
      <c r="J192" s="8">
        <f t="shared" si="23"/>
        <v>0</v>
      </c>
      <c r="K192" s="15">
        <v>4.0509259270038456E-4</v>
      </c>
      <c r="M192" s="8">
        <f t="shared" si="19"/>
        <v>287</v>
      </c>
      <c r="N192" s="9" t="s">
        <v>63</v>
      </c>
      <c r="O192" s="9" t="s">
        <v>16</v>
      </c>
      <c r="P192" s="9">
        <v>1577</v>
      </c>
      <c r="Q192" s="9">
        <v>365</v>
      </c>
      <c r="R192" s="8" t="s">
        <v>17</v>
      </c>
      <c r="S192" s="11">
        <v>112</v>
      </c>
      <c r="T192" s="10">
        <v>0.27</v>
      </c>
    </row>
    <row r="193" spans="1:20" x14ac:dyDescent="0.3">
      <c r="A193" s="7">
        <f t="shared" si="20"/>
        <v>188</v>
      </c>
      <c r="B193" s="8">
        <v>1252</v>
      </c>
      <c r="C193" s="9" t="str">
        <f t="shared" si="21"/>
        <v>2880x85185fe3A4e36079818Ba1d12705A9B6898997040xa60AdD2af71a4f50b3F94509E71a1e9DbDeA5dDa1550494unidade2200027</v>
      </c>
      <c r="D193" s="13" t="s">
        <v>255</v>
      </c>
      <c r="E193" s="8" t="s">
        <v>655</v>
      </c>
      <c r="F193" s="8">
        <f t="shared" si="22"/>
        <v>0</v>
      </c>
      <c r="G193" s="8">
        <f t="shared" si="22"/>
        <v>0</v>
      </c>
      <c r="H193" s="8">
        <f t="shared" si="22"/>
        <v>0</v>
      </c>
      <c r="I193" s="8">
        <f t="shared" si="22"/>
        <v>1</v>
      </c>
      <c r="J193" s="8">
        <f t="shared" si="23"/>
        <v>0</v>
      </c>
      <c r="K193" s="15">
        <v>2.546296309446916E-4</v>
      </c>
      <c r="M193" s="8">
        <f t="shared" si="19"/>
        <v>288</v>
      </c>
      <c r="N193" s="9" t="s">
        <v>63</v>
      </c>
      <c r="O193" s="9" t="s">
        <v>16</v>
      </c>
      <c r="P193" s="9">
        <v>1550</v>
      </c>
      <c r="Q193" s="9">
        <v>494</v>
      </c>
      <c r="R193" s="8" t="s">
        <v>17</v>
      </c>
      <c r="S193" s="11">
        <v>220</v>
      </c>
      <c r="T193" s="10">
        <v>0.27</v>
      </c>
    </row>
    <row r="194" spans="1:20" x14ac:dyDescent="0.3">
      <c r="A194" s="7">
        <f t="shared" si="20"/>
        <v>189</v>
      </c>
      <c r="B194" s="8">
        <v>6379</v>
      </c>
      <c r="C194" s="9" t="str">
        <f t="shared" si="21"/>
        <v>2890x85185fe3A4e36079818Ba1d12705A9B6898997040xa60AdD2af71a4f50b3F94509E71a1e9DbDeA5dDa1105269unidade2020027</v>
      </c>
      <c r="D194" s="13" t="s">
        <v>256</v>
      </c>
      <c r="E194" s="8" t="s">
        <v>656</v>
      </c>
      <c r="F194" s="8">
        <f t="shared" si="22"/>
        <v>0</v>
      </c>
      <c r="G194" s="8">
        <f t="shared" si="22"/>
        <v>0</v>
      </c>
      <c r="H194" s="8">
        <f t="shared" si="22"/>
        <v>0</v>
      </c>
      <c r="I194" s="8">
        <f t="shared" si="22"/>
        <v>1</v>
      </c>
      <c r="J194" s="8">
        <f t="shared" si="23"/>
        <v>0</v>
      </c>
      <c r="K194" s="15">
        <v>1.3194444472901523E-3</v>
      </c>
      <c r="M194" s="8">
        <f t="shared" si="19"/>
        <v>289</v>
      </c>
      <c r="N194" s="9" t="s">
        <v>63</v>
      </c>
      <c r="O194" s="9" t="s">
        <v>16</v>
      </c>
      <c r="P194" s="9">
        <v>1105</v>
      </c>
      <c r="Q194" s="9">
        <v>269</v>
      </c>
      <c r="R194" s="8" t="s">
        <v>17</v>
      </c>
      <c r="S194" s="11">
        <v>202</v>
      </c>
      <c r="T194" s="10">
        <v>0.27</v>
      </c>
    </row>
    <row r="195" spans="1:20" x14ac:dyDescent="0.3">
      <c r="A195" s="7">
        <f t="shared" si="20"/>
        <v>190</v>
      </c>
      <c r="B195" s="8">
        <v>10854</v>
      </c>
      <c r="C195" s="9" t="str">
        <f t="shared" si="21"/>
        <v>2900x85185fe3A4e36079818Ba1d12705A9B6898997040xa60AdD2af71a4f50b3F94509E71a1e9DbDeA5dDa1994268unidade2400027</v>
      </c>
      <c r="D195" s="13" t="s">
        <v>257</v>
      </c>
      <c r="E195" s="8" t="s">
        <v>657</v>
      </c>
      <c r="F195" s="8">
        <f t="shared" si="22"/>
        <v>0</v>
      </c>
      <c r="G195" s="8">
        <f t="shared" si="22"/>
        <v>0</v>
      </c>
      <c r="H195" s="8">
        <f t="shared" si="22"/>
        <v>0</v>
      </c>
      <c r="I195" s="8">
        <f t="shared" si="22"/>
        <v>0</v>
      </c>
      <c r="J195" s="8">
        <f t="shared" si="23"/>
        <v>0</v>
      </c>
      <c r="K195" s="15">
        <v>2.2453703713836148E-3</v>
      </c>
      <c r="M195" s="8">
        <f t="shared" si="19"/>
        <v>290</v>
      </c>
      <c r="N195" s="9" t="s">
        <v>63</v>
      </c>
      <c r="O195" s="9" t="s">
        <v>16</v>
      </c>
      <c r="P195" s="9">
        <v>1994</v>
      </c>
      <c r="Q195" s="9">
        <v>268</v>
      </c>
      <c r="R195" s="8" t="s">
        <v>17</v>
      </c>
      <c r="S195" s="11">
        <v>240</v>
      </c>
      <c r="T195" s="10">
        <v>0.27</v>
      </c>
    </row>
    <row r="196" spans="1:20" x14ac:dyDescent="0.3">
      <c r="A196" s="7">
        <f t="shared" si="20"/>
        <v>191</v>
      </c>
      <c r="B196" s="8">
        <v>8882</v>
      </c>
      <c r="C196" s="9" t="str">
        <f t="shared" si="21"/>
        <v>2910x85185fe3A4e36079818Ba1d12705A9B6898997040xa60AdD2af71a4f50b3F94509E71a1e9DbDeA5dDa1107232unidade1630027</v>
      </c>
      <c r="D196" s="13" t="s">
        <v>258</v>
      </c>
      <c r="E196" s="8" t="s">
        <v>658</v>
      </c>
      <c r="F196" s="8">
        <f t="shared" si="22"/>
        <v>0</v>
      </c>
      <c r="G196" s="8">
        <f t="shared" si="22"/>
        <v>0</v>
      </c>
      <c r="H196" s="8">
        <f t="shared" si="22"/>
        <v>0</v>
      </c>
      <c r="I196" s="8">
        <f t="shared" si="22"/>
        <v>9</v>
      </c>
      <c r="J196" s="8">
        <f t="shared" si="23"/>
        <v>0</v>
      </c>
      <c r="K196" s="15">
        <v>1.8287037019035779E-3</v>
      </c>
      <c r="M196" s="8">
        <f t="shared" si="19"/>
        <v>291</v>
      </c>
      <c r="N196" s="9" t="s">
        <v>63</v>
      </c>
      <c r="O196" s="9" t="s">
        <v>16</v>
      </c>
      <c r="P196" s="9">
        <v>1107</v>
      </c>
      <c r="Q196" s="9">
        <v>232</v>
      </c>
      <c r="R196" s="8" t="s">
        <v>17</v>
      </c>
      <c r="S196" s="11">
        <v>163</v>
      </c>
      <c r="T196" s="10">
        <v>0.27</v>
      </c>
    </row>
    <row r="197" spans="1:20" x14ac:dyDescent="0.3">
      <c r="A197" s="7">
        <f t="shared" si="20"/>
        <v>192</v>
      </c>
      <c r="B197" s="8">
        <v>1275</v>
      </c>
      <c r="C197" s="9" t="str">
        <f t="shared" si="21"/>
        <v>2920x85185fe3A4e36079818Ba1d12705A9B6898997040xa60AdD2af71a4f50b3F94509E71a1e9DbDeA5dDa1272188unidade1820027</v>
      </c>
      <c r="D197" s="13" t="s">
        <v>259</v>
      </c>
      <c r="E197" s="8" t="s">
        <v>659</v>
      </c>
      <c r="F197" s="8">
        <f t="shared" si="22"/>
        <v>0</v>
      </c>
      <c r="G197" s="8">
        <f t="shared" si="22"/>
        <v>0</v>
      </c>
      <c r="H197" s="8">
        <f t="shared" si="22"/>
        <v>0</v>
      </c>
      <c r="I197" s="8">
        <f t="shared" si="22"/>
        <v>0</v>
      </c>
      <c r="J197" s="8">
        <f t="shared" si="23"/>
        <v>0</v>
      </c>
      <c r="K197" s="15">
        <v>2.6620370044838637E-4</v>
      </c>
      <c r="M197" s="8">
        <f t="shared" si="19"/>
        <v>292</v>
      </c>
      <c r="N197" s="9" t="s">
        <v>63</v>
      </c>
      <c r="O197" s="9" t="s">
        <v>16</v>
      </c>
      <c r="P197" s="9">
        <v>1272</v>
      </c>
      <c r="Q197" s="9">
        <v>188</v>
      </c>
      <c r="R197" s="8" t="s">
        <v>17</v>
      </c>
      <c r="S197" s="11">
        <v>182</v>
      </c>
      <c r="T197" s="10">
        <v>0.27</v>
      </c>
    </row>
    <row r="198" spans="1:20" x14ac:dyDescent="0.3">
      <c r="A198" s="7">
        <f t="shared" si="20"/>
        <v>193</v>
      </c>
      <c r="B198" s="8">
        <v>7201</v>
      </c>
      <c r="C198" s="9" t="str">
        <f t="shared" si="21"/>
        <v>2930x85185fe3A4e36079818Ba1d12705A9B6898997040xa60AdD2af71a4f50b3F94509E71a1e9DbDeA5dDa1540281unidade1750027</v>
      </c>
      <c r="D198" s="13" t="s">
        <v>260</v>
      </c>
      <c r="E198" s="8" t="s">
        <v>660</v>
      </c>
      <c r="F198" s="8">
        <f t="shared" si="22"/>
        <v>0</v>
      </c>
      <c r="G198" s="8">
        <f t="shared" si="22"/>
        <v>0</v>
      </c>
      <c r="H198" s="8">
        <f t="shared" si="22"/>
        <v>0</v>
      </c>
      <c r="I198" s="8">
        <f t="shared" si="22"/>
        <v>6</v>
      </c>
      <c r="J198" s="8">
        <f t="shared" si="23"/>
        <v>0</v>
      </c>
      <c r="K198" s="15">
        <v>1.5046296321088448E-3</v>
      </c>
      <c r="M198" s="8">
        <f t="shared" ref="M198:M261" si="24">1+M197</f>
        <v>293</v>
      </c>
      <c r="N198" s="9" t="s">
        <v>63</v>
      </c>
      <c r="O198" s="9" t="s">
        <v>16</v>
      </c>
      <c r="P198" s="9">
        <v>1540</v>
      </c>
      <c r="Q198" s="9">
        <v>281</v>
      </c>
      <c r="R198" s="8" t="s">
        <v>17</v>
      </c>
      <c r="S198" s="11">
        <v>175</v>
      </c>
      <c r="T198" s="10">
        <v>0.27</v>
      </c>
    </row>
    <row r="199" spans="1:20" x14ac:dyDescent="0.3">
      <c r="A199" s="7">
        <f t="shared" ref="A199:A262" si="25">1+A198</f>
        <v>194</v>
      </c>
      <c r="B199" s="8">
        <v>1541</v>
      </c>
      <c r="C199" s="9" t="str">
        <f t="shared" si="21"/>
        <v>2940x85185fe3A4e36079818Ba1d12705A9B6898997040xa60AdD2af71a4f50b3F94509E71a1e9DbDeA5dDa1903457unidade2440027</v>
      </c>
      <c r="D199" s="13" t="s">
        <v>261</v>
      </c>
      <c r="E199" s="8" t="s">
        <v>661</v>
      </c>
      <c r="F199" s="8">
        <f t="shared" si="22"/>
        <v>0</v>
      </c>
      <c r="G199" s="8">
        <f t="shared" si="22"/>
        <v>0</v>
      </c>
      <c r="H199" s="8">
        <f t="shared" si="22"/>
        <v>0</v>
      </c>
      <c r="I199" s="8">
        <f t="shared" si="22"/>
        <v>4</v>
      </c>
      <c r="J199" s="8">
        <f t="shared" si="23"/>
        <v>0</v>
      </c>
      <c r="K199" s="15">
        <v>3.125000002910383E-4</v>
      </c>
      <c r="M199" s="8">
        <f t="shared" si="24"/>
        <v>294</v>
      </c>
      <c r="N199" s="9" t="s">
        <v>63</v>
      </c>
      <c r="O199" s="9" t="s">
        <v>16</v>
      </c>
      <c r="P199" s="9">
        <v>1903</v>
      </c>
      <c r="Q199" s="9">
        <v>457</v>
      </c>
      <c r="R199" s="8" t="s">
        <v>17</v>
      </c>
      <c r="S199" s="11">
        <v>244</v>
      </c>
      <c r="T199" s="10">
        <v>0.27</v>
      </c>
    </row>
    <row r="200" spans="1:20" x14ac:dyDescent="0.3">
      <c r="A200" s="7">
        <f t="shared" si="25"/>
        <v>195</v>
      </c>
      <c r="B200" s="8">
        <v>16579</v>
      </c>
      <c r="C200" s="9" t="str">
        <f t="shared" si="21"/>
        <v>2950x85185fe3A4e36079818Ba1d12705A9B6898997040xa60AdD2af71a4f50b3F94509E71a1e9DbDeA5dDa1089432unidade1980027</v>
      </c>
      <c r="D200" s="13" t="s">
        <v>262</v>
      </c>
      <c r="E200" s="8" t="s">
        <v>662</v>
      </c>
      <c r="F200" s="8">
        <f t="shared" si="22"/>
        <v>0</v>
      </c>
      <c r="G200" s="8">
        <f t="shared" si="22"/>
        <v>0</v>
      </c>
      <c r="H200" s="8">
        <f t="shared" si="22"/>
        <v>0</v>
      </c>
      <c r="I200" s="8">
        <f t="shared" si="22"/>
        <v>7</v>
      </c>
      <c r="J200" s="8">
        <f t="shared" si="23"/>
        <v>0</v>
      </c>
      <c r="K200" s="15">
        <v>3.4722222189884633E-3</v>
      </c>
      <c r="M200" s="8">
        <f t="shared" si="24"/>
        <v>295</v>
      </c>
      <c r="N200" s="9" t="s">
        <v>63</v>
      </c>
      <c r="O200" s="9" t="s">
        <v>16</v>
      </c>
      <c r="P200" s="9">
        <v>1089</v>
      </c>
      <c r="Q200" s="9">
        <v>432</v>
      </c>
      <c r="R200" s="8" t="s">
        <v>17</v>
      </c>
      <c r="S200" s="11">
        <v>198</v>
      </c>
      <c r="T200" s="10">
        <v>0.27</v>
      </c>
    </row>
    <row r="201" spans="1:20" x14ac:dyDescent="0.3">
      <c r="A201" s="7">
        <f t="shared" si="25"/>
        <v>196</v>
      </c>
      <c r="B201" s="8">
        <v>5263</v>
      </c>
      <c r="C201" s="9" t="str">
        <f t="shared" si="21"/>
        <v>2960x85185fe3A4e36079818Ba1d12705A9B6898997040xa60AdD2af71a4f50b3F94509E71a1e9DbDeA5dDa1651413unidade1360027</v>
      </c>
      <c r="D201" s="13" t="s">
        <v>263</v>
      </c>
      <c r="E201" s="8" t="s">
        <v>663</v>
      </c>
      <c r="F201" s="8">
        <f t="shared" si="22"/>
        <v>0</v>
      </c>
      <c r="G201" s="8">
        <f t="shared" si="22"/>
        <v>0</v>
      </c>
      <c r="H201" s="8">
        <f t="shared" si="22"/>
        <v>0</v>
      </c>
      <c r="I201" s="8">
        <f t="shared" si="22"/>
        <v>2</v>
      </c>
      <c r="J201" s="8">
        <f t="shared" si="23"/>
        <v>0</v>
      </c>
      <c r="K201" s="15">
        <v>1.0995370394084603E-3</v>
      </c>
      <c r="M201" s="8">
        <f t="shared" si="24"/>
        <v>296</v>
      </c>
      <c r="N201" s="9" t="s">
        <v>63</v>
      </c>
      <c r="O201" s="9" t="s">
        <v>16</v>
      </c>
      <c r="P201" s="9">
        <v>1651</v>
      </c>
      <c r="Q201" s="9">
        <v>413</v>
      </c>
      <c r="R201" s="8" t="s">
        <v>17</v>
      </c>
      <c r="S201" s="11">
        <v>136</v>
      </c>
      <c r="T201" s="10">
        <v>0.27</v>
      </c>
    </row>
    <row r="202" spans="1:20" x14ac:dyDescent="0.3">
      <c r="A202" s="7">
        <f t="shared" si="25"/>
        <v>197</v>
      </c>
      <c r="B202" s="8">
        <v>3324</v>
      </c>
      <c r="C202" s="9" t="str">
        <f t="shared" si="21"/>
        <v>2970x85185fe3A4e36079818Ba1d12705A9B6898997040xa60AdD2af71a4f50b3F94509E71a1e9DbDeA5dDa1682404unidade2170027</v>
      </c>
      <c r="D202" s="13" t="s">
        <v>264</v>
      </c>
      <c r="E202" s="8" t="s">
        <v>664</v>
      </c>
      <c r="F202" s="8">
        <f t="shared" si="22"/>
        <v>0</v>
      </c>
      <c r="G202" s="8">
        <f t="shared" si="22"/>
        <v>0</v>
      </c>
      <c r="H202" s="8">
        <f t="shared" si="22"/>
        <v>0</v>
      </c>
      <c r="I202" s="8">
        <f t="shared" si="22"/>
        <v>1</v>
      </c>
      <c r="J202" s="8">
        <f t="shared" si="23"/>
        <v>0</v>
      </c>
      <c r="K202" s="15">
        <v>6.8287036992842332E-4</v>
      </c>
      <c r="M202" s="8">
        <f t="shared" si="24"/>
        <v>297</v>
      </c>
      <c r="N202" s="9" t="s">
        <v>63</v>
      </c>
      <c r="O202" s="9" t="s">
        <v>16</v>
      </c>
      <c r="P202" s="9">
        <v>1682</v>
      </c>
      <c r="Q202" s="9">
        <v>404</v>
      </c>
      <c r="R202" s="8" t="s">
        <v>17</v>
      </c>
      <c r="S202" s="11">
        <v>217</v>
      </c>
      <c r="T202" s="10">
        <v>0.27</v>
      </c>
    </row>
    <row r="203" spans="1:20" x14ac:dyDescent="0.3">
      <c r="A203" s="7">
        <f t="shared" si="25"/>
        <v>198</v>
      </c>
      <c r="B203" s="8">
        <v>1958</v>
      </c>
      <c r="C203" s="9" t="str">
        <f t="shared" si="21"/>
        <v>2980x85185fe3A4e36079818Ba1d12705A9B6898997040xa60AdD2af71a4f50b3F94509E71a1e9DbDeA5dDa1836172unidade1640027</v>
      </c>
      <c r="D203" s="13" t="s">
        <v>265</v>
      </c>
      <c r="E203" s="8" t="s">
        <v>665</v>
      </c>
      <c r="F203" s="8">
        <f t="shared" si="22"/>
        <v>0</v>
      </c>
      <c r="G203" s="8">
        <f t="shared" si="22"/>
        <v>0</v>
      </c>
      <c r="H203" s="8">
        <f t="shared" si="22"/>
        <v>0</v>
      </c>
      <c r="I203" s="8">
        <f t="shared" si="22"/>
        <v>5</v>
      </c>
      <c r="J203" s="8">
        <f t="shared" si="23"/>
        <v>0</v>
      </c>
      <c r="K203" s="15">
        <v>4.0509259270038456E-4</v>
      </c>
      <c r="M203" s="8">
        <f t="shared" si="24"/>
        <v>298</v>
      </c>
      <c r="N203" s="9" t="s">
        <v>63</v>
      </c>
      <c r="O203" s="9" t="s">
        <v>16</v>
      </c>
      <c r="P203" s="9">
        <v>1836</v>
      </c>
      <c r="Q203" s="9">
        <v>172</v>
      </c>
      <c r="R203" s="8" t="s">
        <v>17</v>
      </c>
      <c r="S203" s="11">
        <v>164</v>
      </c>
      <c r="T203" s="10">
        <v>0.27</v>
      </c>
    </row>
    <row r="204" spans="1:20" x14ac:dyDescent="0.3">
      <c r="A204" s="7">
        <f t="shared" si="25"/>
        <v>199</v>
      </c>
      <c r="B204" s="8">
        <v>7623</v>
      </c>
      <c r="C204" s="9" t="str">
        <f t="shared" si="21"/>
        <v>2990x85185fe3A4e36079818Ba1d12705A9B6898997040xa60AdD2af71a4f50b3F94509E71a1e9DbDeA5dDa1159287unidade1540027</v>
      </c>
      <c r="D204" s="13" t="s">
        <v>266</v>
      </c>
      <c r="E204" s="8" t="s">
        <v>666</v>
      </c>
      <c r="F204" s="8">
        <f t="shared" si="22"/>
        <v>0</v>
      </c>
      <c r="G204" s="8">
        <f t="shared" si="22"/>
        <v>0</v>
      </c>
      <c r="H204" s="8">
        <f t="shared" si="22"/>
        <v>0</v>
      </c>
      <c r="I204" s="8">
        <f t="shared" si="22"/>
        <v>1</v>
      </c>
      <c r="J204" s="8">
        <f t="shared" si="23"/>
        <v>0</v>
      </c>
      <c r="K204" s="15">
        <v>1.5740740709588863E-3</v>
      </c>
      <c r="M204" s="8">
        <f t="shared" si="24"/>
        <v>299</v>
      </c>
      <c r="N204" s="9" t="s">
        <v>63</v>
      </c>
      <c r="O204" s="9" t="s">
        <v>16</v>
      </c>
      <c r="P204" s="9">
        <v>1159</v>
      </c>
      <c r="Q204" s="9">
        <v>287</v>
      </c>
      <c r="R204" s="8" t="s">
        <v>17</v>
      </c>
      <c r="S204" s="11">
        <v>154</v>
      </c>
      <c r="T204" s="10">
        <v>0.27</v>
      </c>
    </row>
    <row r="205" spans="1:20" x14ac:dyDescent="0.3">
      <c r="A205" s="7">
        <f t="shared" si="25"/>
        <v>200</v>
      </c>
      <c r="B205" s="8">
        <v>265</v>
      </c>
      <c r="C205" s="9" t="str">
        <f t="shared" si="21"/>
        <v>3000x85185fe3A4e36079818Ba1d12705A9B6898997040xa60AdD2af71a4f50b3F94509E71a1e9DbDeA5dDa1378386unidade1440027</v>
      </c>
      <c r="D205" s="13" t="s">
        <v>267</v>
      </c>
      <c r="E205" s="8" t="s">
        <v>667</v>
      </c>
      <c r="F205" s="8">
        <f t="shared" si="22"/>
        <v>0</v>
      </c>
      <c r="G205" s="8">
        <f t="shared" si="22"/>
        <v>0</v>
      </c>
      <c r="H205" s="8">
        <f t="shared" si="22"/>
        <v>0</v>
      </c>
      <c r="I205" s="8">
        <f t="shared" si="22"/>
        <v>4</v>
      </c>
      <c r="J205" s="8">
        <f t="shared" si="23"/>
        <v>0</v>
      </c>
      <c r="K205" s="15">
        <v>4.6296299842651933E-5</v>
      </c>
      <c r="M205" s="8">
        <f t="shared" si="24"/>
        <v>300</v>
      </c>
      <c r="N205" s="9" t="s">
        <v>63</v>
      </c>
      <c r="O205" s="9" t="s">
        <v>16</v>
      </c>
      <c r="P205" s="9">
        <v>1378</v>
      </c>
      <c r="Q205" s="9">
        <v>386</v>
      </c>
      <c r="R205" s="8" t="s">
        <v>17</v>
      </c>
      <c r="S205" s="11">
        <v>144</v>
      </c>
      <c r="T205" s="10">
        <v>0.27</v>
      </c>
    </row>
    <row r="206" spans="1:20" x14ac:dyDescent="0.3">
      <c r="A206" s="7">
        <f t="shared" si="25"/>
        <v>201</v>
      </c>
      <c r="B206" s="8">
        <v>6665</v>
      </c>
      <c r="C206" s="9" t="str">
        <f t="shared" si="21"/>
        <v>3010x85185fe3A4e36079818Ba1d12705A9B6898997040xa60AdD2af71a4f50b3F94509E71a1e9DbDeA5dDa1534394unidade770027</v>
      </c>
      <c r="D206" s="13" t="s">
        <v>268</v>
      </c>
      <c r="E206" s="8" t="s">
        <v>668</v>
      </c>
      <c r="F206" s="8">
        <f t="shared" si="22"/>
        <v>0</v>
      </c>
      <c r="G206" s="8">
        <f t="shared" si="22"/>
        <v>0</v>
      </c>
      <c r="H206" s="8">
        <f t="shared" si="22"/>
        <v>0</v>
      </c>
      <c r="I206" s="8">
        <f t="shared" si="22"/>
        <v>0</v>
      </c>
      <c r="J206" s="8">
        <f t="shared" si="23"/>
        <v>0</v>
      </c>
      <c r="K206" s="15">
        <v>1.377314816636499E-3</v>
      </c>
      <c r="M206" s="8">
        <f t="shared" si="24"/>
        <v>301</v>
      </c>
      <c r="N206" s="9" t="s">
        <v>63</v>
      </c>
      <c r="O206" s="9" t="s">
        <v>16</v>
      </c>
      <c r="P206" s="9">
        <v>1534</v>
      </c>
      <c r="Q206" s="9">
        <v>394</v>
      </c>
      <c r="R206" s="8" t="s">
        <v>17</v>
      </c>
      <c r="S206" s="11">
        <v>77</v>
      </c>
      <c r="T206" s="10">
        <v>0.27</v>
      </c>
    </row>
    <row r="207" spans="1:20" x14ac:dyDescent="0.3">
      <c r="A207" s="7">
        <f t="shared" si="25"/>
        <v>202</v>
      </c>
      <c r="B207" s="8">
        <v>5668</v>
      </c>
      <c r="C207" s="9" t="str">
        <f t="shared" si="21"/>
        <v>3020x85185fe3A4e36079818Ba1d12705A9B6898997040xa60AdD2af71a4f50b3F94509E71a1e9DbDeA5dDa1082367unidade1020027</v>
      </c>
      <c r="D207" s="13" t="s">
        <v>269</v>
      </c>
      <c r="E207" s="8" t="s">
        <v>669</v>
      </c>
      <c r="F207" s="8">
        <f t="shared" si="22"/>
        <v>0</v>
      </c>
      <c r="G207" s="8">
        <f t="shared" si="22"/>
        <v>0</v>
      </c>
      <c r="H207" s="8">
        <f t="shared" si="22"/>
        <v>0</v>
      </c>
      <c r="I207" s="8">
        <f t="shared" si="22"/>
        <v>2</v>
      </c>
      <c r="J207" s="8">
        <f t="shared" si="23"/>
        <v>0</v>
      </c>
      <c r="K207" s="15">
        <v>1.1689814782585017E-3</v>
      </c>
      <c r="M207" s="8">
        <f t="shared" si="24"/>
        <v>302</v>
      </c>
      <c r="N207" s="9" t="s">
        <v>63</v>
      </c>
      <c r="O207" s="9" t="s">
        <v>16</v>
      </c>
      <c r="P207" s="9">
        <v>1082</v>
      </c>
      <c r="Q207" s="9">
        <v>367</v>
      </c>
      <c r="R207" s="8" t="s">
        <v>17</v>
      </c>
      <c r="S207" s="11">
        <v>102</v>
      </c>
      <c r="T207" s="10">
        <v>0.27</v>
      </c>
    </row>
    <row r="208" spans="1:20" x14ac:dyDescent="0.3">
      <c r="A208" s="7">
        <f t="shared" si="25"/>
        <v>203</v>
      </c>
      <c r="B208" s="8">
        <v>8948</v>
      </c>
      <c r="C208" s="9" t="str">
        <f t="shared" si="21"/>
        <v>3030x85185fe3A4e36079818Ba1d12705A9B6898997040xa60AdD2af71a4f50b3F94509E71a1e9DbDeA5dDa1351390unidade2180027</v>
      </c>
      <c r="D208" s="13" t="s">
        <v>270</v>
      </c>
      <c r="E208" s="8" t="s">
        <v>670</v>
      </c>
      <c r="F208" s="8">
        <f t="shared" si="22"/>
        <v>0</v>
      </c>
      <c r="G208" s="8">
        <f t="shared" si="22"/>
        <v>0</v>
      </c>
      <c r="H208" s="8">
        <f t="shared" si="22"/>
        <v>0</v>
      </c>
      <c r="I208" s="8">
        <f t="shared" si="22"/>
        <v>6</v>
      </c>
      <c r="J208" s="8">
        <f t="shared" si="23"/>
        <v>0</v>
      </c>
      <c r="K208" s="15">
        <v>1.8518518554628827E-3</v>
      </c>
      <c r="M208" s="8">
        <f t="shared" si="24"/>
        <v>303</v>
      </c>
      <c r="N208" s="9" t="s">
        <v>63</v>
      </c>
      <c r="O208" s="9" t="s">
        <v>16</v>
      </c>
      <c r="P208" s="9">
        <v>1351</v>
      </c>
      <c r="Q208" s="9">
        <v>390</v>
      </c>
      <c r="R208" s="8" t="s">
        <v>17</v>
      </c>
      <c r="S208" s="11">
        <v>218</v>
      </c>
      <c r="T208" s="10">
        <v>0.27</v>
      </c>
    </row>
    <row r="209" spans="1:20" x14ac:dyDescent="0.3">
      <c r="A209" s="7">
        <f t="shared" si="25"/>
        <v>204</v>
      </c>
      <c r="B209" s="8">
        <v>7245</v>
      </c>
      <c r="C209" s="9" t="str">
        <f t="shared" si="21"/>
        <v>3040x85185fe3A4e36079818Ba1d12705A9B6898997040xa60AdD2af71a4f50b3F94509E71a1e9DbDeA5dDa1004336unidade1780027</v>
      </c>
      <c r="D209" s="13" t="s">
        <v>271</v>
      </c>
      <c r="E209" s="8" t="s">
        <v>671</v>
      </c>
      <c r="F209" s="8">
        <f t="shared" si="22"/>
        <v>0</v>
      </c>
      <c r="G209" s="8">
        <f t="shared" si="22"/>
        <v>0</v>
      </c>
      <c r="H209" s="8">
        <f t="shared" si="22"/>
        <v>0</v>
      </c>
      <c r="I209" s="8">
        <f t="shared" si="22"/>
        <v>3</v>
      </c>
      <c r="J209" s="8">
        <f t="shared" si="23"/>
        <v>0</v>
      </c>
      <c r="K209" s="15">
        <v>1.5046296248328872E-3</v>
      </c>
      <c r="M209" s="8">
        <f t="shared" si="24"/>
        <v>304</v>
      </c>
      <c r="N209" s="9" t="s">
        <v>63</v>
      </c>
      <c r="O209" s="9" t="s">
        <v>16</v>
      </c>
      <c r="P209" s="9">
        <v>1004</v>
      </c>
      <c r="Q209" s="9">
        <v>336</v>
      </c>
      <c r="R209" s="8" t="s">
        <v>17</v>
      </c>
      <c r="S209" s="11">
        <v>178</v>
      </c>
      <c r="T209" s="10">
        <v>0.27</v>
      </c>
    </row>
    <row r="210" spans="1:20" x14ac:dyDescent="0.3">
      <c r="A210" s="7">
        <f t="shared" si="25"/>
        <v>205</v>
      </c>
      <c r="B210" s="8">
        <v>41</v>
      </c>
      <c r="C210" s="9" t="str">
        <f t="shared" si="21"/>
        <v>3050x85185fe3A4e36079818Ba1d12705A9B6898997040xa60AdD2af71a4f50b3F94509E71a1e9DbDeA5dDa1520312unidade1290027</v>
      </c>
      <c r="D210" s="13" t="s">
        <v>272</v>
      </c>
      <c r="E210" s="8" t="s">
        <v>672</v>
      </c>
      <c r="F210" s="8">
        <f t="shared" si="22"/>
        <v>0</v>
      </c>
      <c r="G210" s="8">
        <f t="shared" si="22"/>
        <v>0</v>
      </c>
      <c r="H210" s="8">
        <f t="shared" si="22"/>
        <v>0</v>
      </c>
      <c r="I210" s="8">
        <f t="shared" si="22"/>
        <v>4</v>
      </c>
      <c r="J210" s="8">
        <f t="shared" si="23"/>
        <v>0</v>
      </c>
      <c r="K210" s="15">
        <v>1.1574076779652387E-5</v>
      </c>
      <c r="M210" s="8">
        <f t="shared" si="24"/>
        <v>305</v>
      </c>
      <c r="N210" s="9" t="s">
        <v>63</v>
      </c>
      <c r="O210" s="9" t="s">
        <v>16</v>
      </c>
      <c r="P210" s="9">
        <v>1520</v>
      </c>
      <c r="Q210" s="9">
        <v>312</v>
      </c>
      <c r="R210" s="8" t="s">
        <v>17</v>
      </c>
      <c r="S210" s="11">
        <v>129</v>
      </c>
      <c r="T210" s="10">
        <v>0.27</v>
      </c>
    </row>
    <row r="211" spans="1:20" x14ac:dyDescent="0.3">
      <c r="A211" s="7">
        <f t="shared" si="25"/>
        <v>206</v>
      </c>
      <c r="B211" s="8">
        <v>4210</v>
      </c>
      <c r="C211" s="9" t="str">
        <f t="shared" si="21"/>
        <v>3060x85185fe3A4e36079818Ba1d12705A9B6898997040xa60AdD2af71a4f50b3F94509E71a1e9DbDeA5dDa1578447unidade1860027</v>
      </c>
      <c r="D211" s="13" t="s">
        <v>273</v>
      </c>
      <c r="E211" s="8" t="s">
        <v>673</v>
      </c>
      <c r="F211" s="8">
        <f t="shared" si="22"/>
        <v>0</v>
      </c>
      <c r="G211" s="8">
        <f t="shared" si="22"/>
        <v>0</v>
      </c>
      <c r="H211" s="8">
        <f t="shared" si="22"/>
        <v>0</v>
      </c>
      <c r="I211" s="8">
        <f t="shared" si="22"/>
        <v>2</v>
      </c>
      <c r="J211" s="8">
        <f t="shared" si="23"/>
        <v>0</v>
      </c>
      <c r="K211" s="15">
        <v>8.6805555474711582E-4</v>
      </c>
      <c r="M211" s="8">
        <f t="shared" si="24"/>
        <v>306</v>
      </c>
      <c r="N211" s="9" t="s">
        <v>63</v>
      </c>
      <c r="O211" s="9" t="s">
        <v>16</v>
      </c>
      <c r="P211" s="9">
        <v>1578</v>
      </c>
      <c r="Q211" s="9">
        <v>447</v>
      </c>
      <c r="R211" s="8" t="s">
        <v>17</v>
      </c>
      <c r="S211" s="11">
        <v>186</v>
      </c>
      <c r="T211" s="10">
        <v>0.27</v>
      </c>
    </row>
    <row r="212" spans="1:20" x14ac:dyDescent="0.3">
      <c r="A212" s="7">
        <f t="shared" si="25"/>
        <v>207</v>
      </c>
      <c r="B212" s="8">
        <v>5830</v>
      </c>
      <c r="C212" s="9" t="str">
        <f t="shared" si="21"/>
        <v>3070x85185fe3A4e36079818Ba1d12705A9B6898997040xa60AdD2af71a4f50b3F94509E71a1e9DbDeA5dDa1629137unidade1810027</v>
      </c>
      <c r="D212" s="13" t="s">
        <v>274</v>
      </c>
      <c r="E212" s="8" t="s">
        <v>674</v>
      </c>
      <c r="F212" s="8">
        <f t="shared" si="22"/>
        <v>0</v>
      </c>
      <c r="G212" s="8">
        <f t="shared" si="22"/>
        <v>0</v>
      </c>
      <c r="H212" s="8">
        <f t="shared" si="22"/>
        <v>0</v>
      </c>
      <c r="I212" s="8">
        <f t="shared" si="22"/>
        <v>1</v>
      </c>
      <c r="J212" s="8">
        <f t="shared" si="23"/>
        <v>0</v>
      </c>
      <c r="K212" s="15">
        <v>1.2037037013215013E-3</v>
      </c>
      <c r="M212" s="8">
        <f t="shared" si="24"/>
        <v>307</v>
      </c>
      <c r="N212" s="9" t="s">
        <v>63</v>
      </c>
      <c r="O212" s="9" t="s">
        <v>16</v>
      </c>
      <c r="P212" s="9">
        <v>1629</v>
      </c>
      <c r="Q212" s="9">
        <v>137</v>
      </c>
      <c r="R212" s="8" t="s">
        <v>17</v>
      </c>
      <c r="S212" s="11">
        <v>181</v>
      </c>
      <c r="T212" s="10">
        <v>0.27</v>
      </c>
    </row>
    <row r="213" spans="1:20" x14ac:dyDescent="0.3">
      <c r="A213" s="7">
        <f t="shared" si="25"/>
        <v>208</v>
      </c>
      <c r="B213" s="8">
        <v>2292</v>
      </c>
      <c r="C213" s="9" t="str">
        <f t="shared" si="21"/>
        <v>3080x85185fe3A4e36079818Ba1d12705A9B6898997040xa60AdD2af71a4f50b3F94509E71a1e9DbDeA5dDa1323323unidade1720027</v>
      </c>
      <c r="D213" s="13" t="s">
        <v>275</v>
      </c>
      <c r="E213" s="8" t="s">
        <v>675</v>
      </c>
      <c r="F213" s="8">
        <f t="shared" si="22"/>
        <v>0</v>
      </c>
      <c r="G213" s="8">
        <f t="shared" si="22"/>
        <v>0</v>
      </c>
      <c r="H213" s="8">
        <f t="shared" si="22"/>
        <v>0</v>
      </c>
      <c r="I213" s="8">
        <f t="shared" si="22"/>
        <v>9</v>
      </c>
      <c r="J213" s="8">
        <f t="shared" si="23"/>
        <v>0</v>
      </c>
      <c r="K213" s="15">
        <v>4.7453703882638365E-4</v>
      </c>
      <c r="M213" s="8">
        <f t="shared" si="24"/>
        <v>308</v>
      </c>
      <c r="N213" s="9" t="s">
        <v>63</v>
      </c>
      <c r="O213" s="9" t="s">
        <v>16</v>
      </c>
      <c r="P213" s="9">
        <v>1323</v>
      </c>
      <c r="Q213" s="9">
        <v>323</v>
      </c>
      <c r="R213" s="8" t="s">
        <v>17</v>
      </c>
      <c r="S213" s="11">
        <v>172</v>
      </c>
      <c r="T213" s="10">
        <v>0.27</v>
      </c>
    </row>
    <row r="214" spans="1:20" x14ac:dyDescent="0.3">
      <c r="A214" s="7">
        <f t="shared" si="25"/>
        <v>209</v>
      </c>
      <c r="B214" s="8">
        <v>7495</v>
      </c>
      <c r="C214" s="9" t="str">
        <f t="shared" si="21"/>
        <v>3090x85185fe3A4e36079818Ba1d12705A9B6898997040xa60AdD2af71a4f50b3F94509E71a1e9DbDeA5dDa1701244unidade1390027</v>
      </c>
      <c r="D214" s="13" t="s">
        <v>276</v>
      </c>
      <c r="E214" s="8" t="s">
        <v>676</v>
      </c>
      <c r="F214" s="8">
        <f t="shared" si="22"/>
        <v>0</v>
      </c>
      <c r="G214" s="8">
        <f t="shared" si="22"/>
        <v>0</v>
      </c>
      <c r="H214" s="8">
        <f t="shared" si="22"/>
        <v>0</v>
      </c>
      <c r="I214" s="8">
        <f t="shared" si="22"/>
        <v>3</v>
      </c>
      <c r="J214" s="8">
        <f t="shared" si="23"/>
        <v>0</v>
      </c>
      <c r="K214" s="15">
        <v>1.5509259246755391E-3</v>
      </c>
      <c r="M214" s="8">
        <f t="shared" si="24"/>
        <v>309</v>
      </c>
      <c r="N214" s="9" t="s">
        <v>63</v>
      </c>
      <c r="O214" s="9" t="s">
        <v>16</v>
      </c>
      <c r="P214" s="9">
        <v>1701</v>
      </c>
      <c r="Q214" s="9">
        <v>244</v>
      </c>
      <c r="R214" s="8" t="s">
        <v>17</v>
      </c>
      <c r="S214" s="11">
        <v>139</v>
      </c>
      <c r="T214" s="10">
        <v>0.27</v>
      </c>
    </row>
    <row r="215" spans="1:20" x14ac:dyDescent="0.3">
      <c r="A215" s="7">
        <f t="shared" si="25"/>
        <v>210</v>
      </c>
      <c r="B215" s="8">
        <v>910</v>
      </c>
      <c r="C215" s="9" t="str">
        <f t="shared" si="21"/>
        <v>3100x85185fe3A4e36079818Ba1d12705A9B6898997040xa60AdD2af71a4f50b3F94509E71a1e9DbDeA5dDa1364215unidade790027</v>
      </c>
      <c r="D215" s="13" t="s">
        <v>277</v>
      </c>
      <c r="E215" s="8" t="s">
        <v>677</v>
      </c>
      <c r="F215" s="8">
        <f t="shared" si="22"/>
        <v>0</v>
      </c>
      <c r="G215" s="8">
        <f t="shared" si="22"/>
        <v>0</v>
      </c>
      <c r="H215" s="8">
        <f t="shared" si="22"/>
        <v>0</v>
      </c>
      <c r="I215" s="8">
        <f t="shared" si="22"/>
        <v>9</v>
      </c>
      <c r="J215" s="8">
        <f t="shared" si="23"/>
        <v>0</v>
      </c>
      <c r="K215" s="15">
        <v>1.8518518481869251E-4</v>
      </c>
      <c r="M215" s="8">
        <f t="shared" si="24"/>
        <v>310</v>
      </c>
      <c r="N215" s="9" t="s">
        <v>63</v>
      </c>
      <c r="O215" s="9" t="s">
        <v>16</v>
      </c>
      <c r="P215" s="9">
        <v>1364</v>
      </c>
      <c r="Q215" s="9">
        <v>215</v>
      </c>
      <c r="R215" s="8" t="s">
        <v>17</v>
      </c>
      <c r="S215" s="11">
        <v>79</v>
      </c>
      <c r="T215" s="10">
        <v>0.27</v>
      </c>
    </row>
    <row r="216" spans="1:20" x14ac:dyDescent="0.3">
      <c r="A216" s="7">
        <f t="shared" si="25"/>
        <v>211</v>
      </c>
      <c r="B216" s="8">
        <v>2963</v>
      </c>
      <c r="C216" s="9" t="str">
        <f t="shared" si="21"/>
        <v>3110x85185fe3A4e36079818Ba1d12705A9B6898997040xa60AdD2af71a4f50b3F94509E71a1e9DbDeA5dDa1861234unidade2240027</v>
      </c>
      <c r="D216" s="13" t="s">
        <v>278</v>
      </c>
      <c r="E216" s="8" t="s">
        <v>678</v>
      </c>
      <c r="F216" s="8">
        <f t="shared" si="22"/>
        <v>0</v>
      </c>
      <c r="G216" s="8">
        <f t="shared" si="22"/>
        <v>0</v>
      </c>
      <c r="H216" s="8">
        <f t="shared" si="22"/>
        <v>0</v>
      </c>
      <c r="I216" s="8">
        <f t="shared" si="22"/>
        <v>1</v>
      </c>
      <c r="J216" s="8">
        <f t="shared" si="23"/>
        <v>0</v>
      </c>
      <c r="K216" s="15">
        <v>7.1759259299142286E-4</v>
      </c>
      <c r="M216" s="8">
        <f t="shared" si="24"/>
        <v>311</v>
      </c>
      <c r="N216" s="9" t="s">
        <v>63</v>
      </c>
      <c r="O216" s="9" t="s">
        <v>16</v>
      </c>
      <c r="P216" s="9">
        <v>1861</v>
      </c>
      <c r="Q216" s="9">
        <v>234</v>
      </c>
      <c r="R216" s="8" t="s">
        <v>17</v>
      </c>
      <c r="S216" s="11">
        <v>224</v>
      </c>
      <c r="T216" s="10">
        <v>0.27</v>
      </c>
    </row>
    <row r="217" spans="1:20" x14ac:dyDescent="0.3">
      <c r="A217" s="7">
        <f t="shared" si="25"/>
        <v>212</v>
      </c>
      <c r="B217" s="8">
        <v>4012</v>
      </c>
      <c r="C217" s="9" t="str">
        <f t="shared" si="21"/>
        <v>3120x85185fe3A4e36079818Ba1d12705A9B6898997040xa60AdD2af71a4f50b3F94509E71a1e9DbDeA5dDa1031309unidade1500027</v>
      </c>
      <c r="D217" s="13" t="s">
        <v>279</v>
      </c>
      <c r="E217" s="8" t="s">
        <v>679</v>
      </c>
      <c r="F217" s="8">
        <f t="shared" si="22"/>
        <v>0</v>
      </c>
      <c r="G217" s="8">
        <f t="shared" si="22"/>
        <v>0</v>
      </c>
      <c r="H217" s="8">
        <f t="shared" si="22"/>
        <v>0</v>
      </c>
      <c r="I217" s="8">
        <f t="shared" si="22"/>
        <v>0</v>
      </c>
      <c r="J217" s="8">
        <f t="shared" si="23"/>
        <v>0</v>
      </c>
      <c r="K217" s="15">
        <v>9.9537037021946162E-4</v>
      </c>
      <c r="M217" s="8">
        <f t="shared" si="24"/>
        <v>312</v>
      </c>
      <c r="N217" s="9" t="s">
        <v>63</v>
      </c>
      <c r="O217" s="9" t="s">
        <v>16</v>
      </c>
      <c r="P217" s="9">
        <v>1031</v>
      </c>
      <c r="Q217" s="9">
        <v>309</v>
      </c>
      <c r="R217" s="8" t="s">
        <v>17</v>
      </c>
      <c r="S217" s="11">
        <v>150</v>
      </c>
      <c r="T217" s="10">
        <v>0.27</v>
      </c>
    </row>
    <row r="218" spans="1:20" x14ac:dyDescent="0.3">
      <c r="A218" s="7">
        <f t="shared" si="25"/>
        <v>213</v>
      </c>
      <c r="B218" s="8">
        <v>943</v>
      </c>
      <c r="C218" s="9" t="str">
        <f t="shared" si="21"/>
        <v>3130x85185fe3A4e36079818Ba1d12705A9B6898997040xa60AdD2af71a4f50b3F94509E71a1e9DbDeA5dDa1566133unidade1480027</v>
      </c>
      <c r="D218" s="13" t="s">
        <v>280</v>
      </c>
      <c r="E218" s="8" t="s">
        <v>680</v>
      </c>
      <c r="F218" s="8">
        <f t="shared" si="22"/>
        <v>0</v>
      </c>
      <c r="G218" s="8">
        <f t="shared" si="22"/>
        <v>0</v>
      </c>
      <c r="H218" s="8">
        <f t="shared" si="22"/>
        <v>0</v>
      </c>
      <c r="I218" s="8">
        <f t="shared" si="22"/>
        <v>1</v>
      </c>
      <c r="J218" s="8">
        <f t="shared" si="23"/>
        <v>0</v>
      </c>
      <c r="K218" s="15">
        <v>1.9675926159834489E-4</v>
      </c>
      <c r="M218" s="8">
        <f t="shared" si="24"/>
        <v>313</v>
      </c>
      <c r="N218" s="9" t="s">
        <v>63</v>
      </c>
      <c r="O218" s="9" t="s">
        <v>16</v>
      </c>
      <c r="P218" s="9">
        <v>1566</v>
      </c>
      <c r="Q218" s="9">
        <v>133</v>
      </c>
      <c r="R218" s="8" t="s">
        <v>17</v>
      </c>
      <c r="S218" s="11">
        <v>148</v>
      </c>
      <c r="T218" s="10">
        <v>0.27</v>
      </c>
    </row>
    <row r="219" spans="1:20" x14ac:dyDescent="0.3">
      <c r="A219" s="7">
        <f t="shared" si="25"/>
        <v>214</v>
      </c>
      <c r="B219" s="8">
        <v>5059</v>
      </c>
      <c r="C219" s="9" t="str">
        <f t="shared" si="21"/>
        <v>3140x85185fe3A4e36079818Ba1d12705A9B6898997040xa60AdD2af71a4f50b3F94509E71a1e9DbDeA5dDa1300493unidade1500027</v>
      </c>
      <c r="D219" s="13" t="s">
        <v>281</v>
      </c>
      <c r="E219" s="8" t="s">
        <v>681</v>
      </c>
      <c r="F219" s="8">
        <f t="shared" si="22"/>
        <v>0</v>
      </c>
      <c r="G219" s="8">
        <f t="shared" si="22"/>
        <v>0</v>
      </c>
      <c r="H219" s="8">
        <f t="shared" si="22"/>
        <v>0</v>
      </c>
      <c r="I219" s="8">
        <f t="shared" si="22"/>
        <v>8</v>
      </c>
      <c r="J219" s="8">
        <f t="shared" si="23"/>
        <v>0</v>
      </c>
      <c r="K219" s="15">
        <v>1.0763888858491555E-3</v>
      </c>
      <c r="M219" s="8">
        <f t="shared" si="24"/>
        <v>314</v>
      </c>
      <c r="N219" s="9" t="s">
        <v>63</v>
      </c>
      <c r="O219" s="9" t="s">
        <v>16</v>
      </c>
      <c r="P219" s="9">
        <v>1300</v>
      </c>
      <c r="Q219" s="9">
        <v>493</v>
      </c>
      <c r="R219" s="8" t="s">
        <v>17</v>
      </c>
      <c r="S219" s="11">
        <v>150</v>
      </c>
      <c r="T219" s="10">
        <v>0.27</v>
      </c>
    </row>
    <row r="220" spans="1:20" x14ac:dyDescent="0.3">
      <c r="A220" s="7">
        <f t="shared" si="25"/>
        <v>215</v>
      </c>
      <c r="B220" s="8">
        <v>614</v>
      </c>
      <c r="C220" s="9" t="str">
        <f t="shared" si="21"/>
        <v>3150x85185fe3A4e36079818Ba1d12705A9B6898997040xa60AdD2af71a4f50b3F94509E71a1e9DbDeA5dDa1826435unidade1780027</v>
      </c>
      <c r="D220" s="13" t="s">
        <v>282</v>
      </c>
      <c r="E220" s="8" t="s">
        <v>682</v>
      </c>
      <c r="F220" s="8">
        <f t="shared" si="22"/>
        <v>0</v>
      </c>
      <c r="G220" s="8">
        <f t="shared" si="22"/>
        <v>0</v>
      </c>
      <c r="H220" s="8">
        <f t="shared" si="22"/>
        <v>0</v>
      </c>
      <c r="I220" s="8">
        <f t="shared" si="22"/>
        <v>1</v>
      </c>
      <c r="J220" s="8">
        <f t="shared" si="23"/>
        <v>0</v>
      </c>
      <c r="K220" s="15">
        <v>1.1574073869269341E-4</v>
      </c>
      <c r="M220" s="8">
        <f t="shared" si="24"/>
        <v>315</v>
      </c>
      <c r="N220" s="9" t="s">
        <v>63</v>
      </c>
      <c r="O220" s="9" t="s">
        <v>16</v>
      </c>
      <c r="P220" s="9">
        <v>1826</v>
      </c>
      <c r="Q220" s="9">
        <v>435</v>
      </c>
      <c r="R220" s="8" t="s">
        <v>17</v>
      </c>
      <c r="S220" s="11">
        <v>178</v>
      </c>
      <c r="T220" s="10">
        <v>0.27</v>
      </c>
    </row>
    <row r="221" spans="1:20" x14ac:dyDescent="0.3">
      <c r="A221" s="7">
        <f t="shared" si="25"/>
        <v>216</v>
      </c>
      <c r="B221" s="8">
        <v>2</v>
      </c>
      <c r="C221" s="9" t="str">
        <f t="shared" si="21"/>
        <v>3160x85185fe3A4e36079818Ba1d12705A9B6898997040xa60AdD2af71a4f50b3F94509E71a1e9DbDeA5dDa1582410unidade1930027</v>
      </c>
      <c r="D221" s="13" t="s">
        <v>283</v>
      </c>
      <c r="E221" s="8" t="s">
        <v>683</v>
      </c>
      <c r="F221" s="8">
        <f t="shared" si="22"/>
        <v>0</v>
      </c>
      <c r="G221" s="8">
        <f t="shared" si="22"/>
        <v>0</v>
      </c>
      <c r="H221" s="8">
        <f t="shared" si="22"/>
        <v>0</v>
      </c>
      <c r="I221" s="8">
        <f t="shared" si="22"/>
        <v>1</v>
      </c>
      <c r="J221" s="8">
        <f t="shared" si="23"/>
        <v>0</v>
      </c>
      <c r="K221" s="15">
        <v>0</v>
      </c>
      <c r="M221" s="8">
        <f t="shared" si="24"/>
        <v>316</v>
      </c>
      <c r="N221" s="9" t="s">
        <v>63</v>
      </c>
      <c r="O221" s="9" t="s">
        <v>16</v>
      </c>
      <c r="P221" s="9">
        <v>1582</v>
      </c>
      <c r="Q221" s="9">
        <v>410</v>
      </c>
      <c r="R221" s="8" t="s">
        <v>17</v>
      </c>
      <c r="S221" s="11">
        <v>193</v>
      </c>
      <c r="T221" s="10">
        <v>0.27</v>
      </c>
    </row>
    <row r="222" spans="1:20" x14ac:dyDescent="0.3">
      <c r="A222" s="7">
        <f t="shared" si="25"/>
        <v>217</v>
      </c>
      <c r="B222" s="8">
        <v>2427</v>
      </c>
      <c r="C222" s="9" t="str">
        <f t="shared" si="21"/>
        <v>3170x85185fe3A4e36079818Ba1d12705A9B6898997040xa60AdD2af71a4f50b3F94509E71a1e9DbDeA5dDa1816293unidade960027</v>
      </c>
      <c r="D222" s="13" t="s">
        <v>284</v>
      </c>
      <c r="E222" s="8" t="s">
        <v>684</v>
      </c>
      <c r="F222" s="8">
        <f t="shared" si="22"/>
        <v>0</v>
      </c>
      <c r="G222" s="8">
        <f t="shared" si="22"/>
        <v>0</v>
      </c>
      <c r="H222" s="8">
        <f t="shared" si="22"/>
        <v>0</v>
      </c>
      <c r="I222" s="8">
        <f t="shared" si="22"/>
        <v>7</v>
      </c>
      <c r="J222" s="8">
        <f t="shared" si="23"/>
        <v>0</v>
      </c>
      <c r="K222" s="15">
        <v>5.092592618893832E-4</v>
      </c>
      <c r="M222" s="8">
        <f t="shared" si="24"/>
        <v>317</v>
      </c>
      <c r="N222" s="9" t="s">
        <v>63</v>
      </c>
      <c r="O222" s="9" t="s">
        <v>16</v>
      </c>
      <c r="P222" s="9">
        <v>1816</v>
      </c>
      <c r="Q222" s="9">
        <v>293</v>
      </c>
      <c r="R222" s="8" t="s">
        <v>17</v>
      </c>
      <c r="S222" s="11">
        <v>96</v>
      </c>
      <c r="T222" s="10">
        <v>0.27</v>
      </c>
    </row>
    <row r="223" spans="1:20" x14ac:dyDescent="0.3">
      <c r="A223" s="7">
        <f t="shared" si="25"/>
        <v>218</v>
      </c>
      <c r="B223" s="8">
        <v>6694</v>
      </c>
      <c r="C223" s="9" t="str">
        <f t="shared" si="21"/>
        <v>3180x85185fe3A4e36079818Ba1d12705A9B6898997040xa60AdD2af71a4f50b3F94509E71a1e9DbDeA5dDa1782178unidade1800027</v>
      </c>
      <c r="D223" s="13" t="s">
        <v>285</v>
      </c>
      <c r="E223" s="8" t="s">
        <v>685</v>
      </c>
      <c r="F223" s="8">
        <f t="shared" si="22"/>
        <v>0</v>
      </c>
      <c r="G223" s="8">
        <f t="shared" si="22"/>
        <v>0</v>
      </c>
      <c r="H223" s="8">
        <f t="shared" si="22"/>
        <v>0</v>
      </c>
      <c r="I223" s="8">
        <f t="shared" si="22"/>
        <v>2</v>
      </c>
      <c r="J223" s="8">
        <f t="shared" si="23"/>
        <v>0</v>
      </c>
      <c r="K223" s="15">
        <v>1.4004629629198462E-3</v>
      </c>
      <c r="M223" s="8">
        <f t="shared" si="24"/>
        <v>318</v>
      </c>
      <c r="N223" s="9" t="s">
        <v>63</v>
      </c>
      <c r="O223" s="9" t="s">
        <v>16</v>
      </c>
      <c r="P223" s="9">
        <v>1782</v>
      </c>
      <c r="Q223" s="9">
        <v>178</v>
      </c>
      <c r="R223" s="8" t="s">
        <v>17</v>
      </c>
      <c r="S223" s="11">
        <v>180</v>
      </c>
      <c r="T223" s="10">
        <v>0.27</v>
      </c>
    </row>
    <row r="224" spans="1:20" x14ac:dyDescent="0.3">
      <c r="A224" s="7">
        <f t="shared" si="25"/>
        <v>219</v>
      </c>
      <c r="B224" s="8">
        <v>1388</v>
      </c>
      <c r="C224" s="9" t="str">
        <f t="shared" si="21"/>
        <v>3190x85185fe3A4e36079818Ba1d12705A9B6898997040xa60AdD2af71a4f50b3F94509E71a1e9DbDeA5dDa1962287unidade1620027</v>
      </c>
      <c r="D224" s="13" t="s">
        <v>286</v>
      </c>
      <c r="E224" s="8" t="s">
        <v>686</v>
      </c>
      <c r="F224" s="8">
        <f t="shared" si="22"/>
        <v>0</v>
      </c>
      <c r="G224" s="8">
        <f t="shared" si="22"/>
        <v>0</v>
      </c>
      <c r="H224" s="8">
        <f t="shared" si="22"/>
        <v>0</v>
      </c>
      <c r="I224" s="8">
        <f t="shared" si="22"/>
        <v>6</v>
      </c>
      <c r="J224" s="8">
        <f t="shared" si="23"/>
        <v>0</v>
      </c>
      <c r="K224" s="15">
        <v>2.8935185400769114E-4</v>
      </c>
      <c r="M224" s="8">
        <f t="shared" si="24"/>
        <v>319</v>
      </c>
      <c r="N224" s="9" t="s">
        <v>63</v>
      </c>
      <c r="O224" s="9" t="s">
        <v>16</v>
      </c>
      <c r="P224" s="9">
        <v>1962</v>
      </c>
      <c r="Q224" s="9">
        <v>287</v>
      </c>
      <c r="R224" s="8" t="s">
        <v>17</v>
      </c>
      <c r="S224" s="11">
        <v>162</v>
      </c>
      <c r="T224" s="10">
        <v>0.27</v>
      </c>
    </row>
    <row r="225" spans="1:20" x14ac:dyDescent="0.3">
      <c r="A225" s="7">
        <f t="shared" si="25"/>
        <v>220</v>
      </c>
      <c r="B225" s="8">
        <v>2473</v>
      </c>
      <c r="C225" s="9" t="str">
        <f t="shared" si="21"/>
        <v>3200x85185fe3A4e36079818Ba1d12705A9B6898997040xa60AdD2af71a4f50b3F94509E71a1e9DbDeA5dDa1228312unidade560027</v>
      </c>
      <c r="D225" s="13" t="s">
        <v>287</v>
      </c>
      <c r="E225" s="8" t="s">
        <v>687</v>
      </c>
      <c r="F225" s="8">
        <f t="shared" si="22"/>
        <v>0</v>
      </c>
      <c r="G225" s="8">
        <f t="shared" si="22"/>
        <v>0</v>
      </c>
      <c r="H225" s="8">
        <f t="shared" si="22"/>
        <v>0</v>
      </c>
      <c r="I225" s="8">
        <f t="shared" si="22"/>
        <v>1</v>
      </c>
      <c r="J225" s="8">
        <f t="shared" si="23"/>
        <v>0</v>
      </c>
      <c r="K225" s="15">
        <v>5.2083333139307797E-4</v>
      </c>
      <c r="M225" s="8">
        <f t="shared" si="24"/>
        <v>320</v>
      </c>
      <c r="N225" s="9" t="s">
        <v>63</v>
      </c>
      <c r="O225" s="9" t="s">
        <v>16</v>
      </c>
      <c r="P225" s="9">
        <v>1228</v>
      </c>
      <c r="Q225" s="9">
        <v>312</v>
      </c>
      <c r="R225" s="8" t="s">
        <v>17</v>
      </c>
      <c r="S225" s="11">
        <v>56</v>
      </c>
      <c r="T225" s="10">
        <v>0.27</v>
      </c>
    </row>
    <row r="226" spans="1:20" x14ac:dyDescent="0.3">
      <c r="A226" s="7">
        <f t="shared" si="25"/>
        <v>221</v>
      </c>
      <c r="B226" s="8">
        <v>5121</v>
      </c>
      <c r="C226" s="9" t="str">
        <f t="shared" si="21"/>
        <v>3210x85185fe3A4e36079818Ba1d12705A9B6898997040xa60AdD2af71a4f50b3F94509E71a1e9DbDeA5dDa1314221unidade1150027</v>
      </c>
      <c r="D226" s="13" t="s">
        <v>288</v>
      </c>
      <c r="E226" s="8" t="s">
        <v>688</v>
      </c>
      <c r="F226" s="8">
        <f t="shared" si="22"/>
        <v>0</v>
      </c>
      <c r="G226" s="8">
        <f t="shared" si="22"/>
        <v>0</v>
      </c>
      <c r="H226" s="8">
        <f t="shared" si="22"/>
        <v>0</v>
      </c>
      <c r="I226" s="8">
        <f t="shared" si="22"/>
        <v>4</v>
      </c>
      <c r="J226" s="8">
        <f t="shared" si="23"/>
        <v>0</v>
      </c>
      <c r="K226" s="15">
        <v>1.0648148163454607E-3</v>
      </c>
      <c r="M226" s="8">
        <f t="shared" si="24"/>
        <v>321</v>
      </c>
      <c r="N226" s="9" t="s">
        <v>63</v>
      </c>
      <c r="O226" s="9" t="s">
        <v>16</v>
      </c>
      <c r="P226" s="9">
        <v>1314</v>
      </c>
      <c r="Q226" s="9">
        <v>221</v>
      </c>
      <c r="R226" s="8" t="s">
        <v>17</v>
      </c>
      <c r="S226" s="11">
        <v>115</v>
      </c>
      <c r="T226" s="10">
        <v>0.27</v>
      </c>
    </row>
    <row r="227" spans="1:20" x14ac:dyDescent="0.3">
      <c r="A227" s="7">
        <f t="shared" si="25"/>
        <v>222</v>
      </c>
      <c r="B227" s="8">
        <v>706</v>
      </c>
      <c r="C227" s="9" t="str">
        <f t="shared" si="21"/>
        <v>3220x85185fe3A4e36079818Ba1d12705A9B6898997040xa60AdD2af71a4f50b3F94509E71a1e9DbDeA5dDa1037296unidade890027</v>
      </c>
      <c r="D227" s="13" t="s">
        <v>289</v>
      </c>
      <c r="E227" s="8" t="s">
        <v>689</v>
      </c>
      <c r="F227" s="8">
        <f t="shared" si="22"/>
        <v>0</v>
      </c>
      <c r="G227" s="8">
        <f t="shared" si="22"/>
        <v>0</v>
      </c>
      <c r="H227" s="8">
        <f t="shared" si="22"/>
        <v>0</v>
      </c>
      <c r="I227" s="8">
        <f t="shared" si="22"/>
        <v>7</v>
      </c>
      <c r="J227" s="8">
        <f t="shared" si="23"/>
        <v>0</v>
      </c>
      <c r="K227" s="15">
        <v>1.5046296175569296E-4</v>
      </c>
      <c r="M227" s="8">
        <f t="shared" si="24"/>
        <v>322</v>
      </c>
      <c r="N227" s="9" t="s">
        <v>63</v>
      </c>
      <c r="O227" s="9" t="s">
        <v>16</v>
      </c>
      <c r="P227" s="9">
        <v>1037</v>
      </c>
      <c r="Q227" s="9">
        <v>296</v>
      </c>
      <c r="R227" s="8" t="s">
        <v>17</v>
      </c>
      <c r="S227" s="11">
        <v>89</v>
      </c>
      <c r="T227" s="10">
        <v>0.27</v>
      </c>
    </row>
    <row r="228" spans="1:20" x14ac:dyDescent="0.3">
      <c r="A228" s="7">
        <f t="shared" si="25"/>
        <v>223</v>
      </c>
      <c r="B228" s="8">
        <v>2052</v>
      </c>
      <c r="C228" s="9" t="str">
        <f t="shared" si="21"/>
        <v>3230x85185fe3A4e36079818Ba1d12705A9B6898997040xa60AdD2af71a4f50b3F94509E71a1e9DbDeA5dDa1815142unidade1470027</v>
      </c>
      <c r="D228" s="13" t="s">
        <v>290</v>
      </c>
      <c r="E228" s="8" t="s">
        <v>690</v>
      </c>
      <c r="F228" s="8">
        <f t="shared" si="22"/>
        <v>0</v>
      </c>
      <c r="G228" s="8">
        <f t="shared" si="22"/>
        <v>0</v>
      </c>
      <c r="H228" s="8">
        <f t="shared" si="22"/>
        <v>0</v>
      </c>
      <c r="I228" s="8">
        <f t="shared" si="22"/>
        <v>7</v>
      </c>
      <c r="J228" s="8">
        <f t="shared" si="23"/>
        <v>0</v>
      </c>
      <c r="K228" s="15">
        <v>4.2824073898373172E-4</v>
      </c>
      <c r="M228" s="8">
        <f t="shared" si="24"/>
        <v>323</v>
      </c>
      <c r="N228" s="9" t="s">
        <v>63</v>
      </c>
      <c r="O228" s="9" t="s">
        <v>16</v>
      </c>
      <c r="P228" s="9">
        <v>1815</v>
      </c>
      <c r="Q228" s="9">
        <v>142</v>
      </c>
      <c r="R228" s="8" t="s">
        <v>17</v>
      </c>
      <c r="S228" s="11">
        <v>147</v>
      </c>
      <c r="T228" s="10">
        <v>0.27</v>
      </c>
    </row>
    <row r="229" spans="1:20" x14ac:dyDescent="0.3">
      <c r="A229" s="7">
        <f t="shared" si="25"/>
        <v>224</v>
      </c>
      <c r="B229" s="8">
        <v>4894</v>
      </c>
      <c r="C229" s="9" t="str">
        <f t="shared" si="21"/>
        <v>3240x85185fe3A4e36079818Ba1d12705A9B6898997040xa60AdD2af71a4f50b3F94509E71a1e9DbDeA5dDa1315325unidade1160027</v>
      </c>
      <c r="D229" s="13" t="s">
        <v>291</v>
      </c>
      <c r="E229" s="8" t="s">
        <v>691</v>
      </c>
      <c r="F229" s="8">
        <f t="shared" si="22"/>
        <v>0</v>
      </c>
      <c r="G229" s="8">
        <f t="shared" si="22"/>
        <v>0</v>
      </c>
      <c r="H229" s="8">
        <f t="shared" si="22"/>
        <v>0</v>
      </c>
      <c r="I229" s="8">
        <f t="shared" si="22"/>
        <v>1</v>
      </c>
      <c r="J229" s="8">
        <f t="shared" si="23"/>
        <v>0</v>
      </c>
      <c r="K229" s="15">
        <v>1.006944446999114E-3</v>
      </c>
      <c r="M229" s="8">
        <f t="shared" si="24"/>
        <v>324</v>
      </c>
      <c r="N229" s="9" t="s">
        <v>63</v>
      </c>
      <c r="O229" s="9" t="s">
        <v>16</v>
      </c>
      <c r="P229" s="9">
        <v>1315</v>
      </c>
      <c r="Q229" s="9">
        <v>325</v>
      </c>
      <c r="R229" s="8" t="s">
        <v>17</v>
      </c>
      <c r="S229" s="11">
        <v>116</v>
      </c>
      <c r="T229" s="10">
        <v>0.27</v>
      </c>
    </row>
    <row r="230" spans="1:20" x14ac:dyDescent="0.3">
      <c r="A230" s="7">
        <f t="shared" si="25"/>
        <v>225</v>
      </c>
      <c r="B230" s="8">
        <v>7337</v>
      </c>
      <c r="C230" s="9" t="str">
        <f t="shared" si="21"/>
        <v>3250x85185fe3A4e36079818Ba1d12705A9B6898997040xa60AdD2af71a4f50b3F94509E71a1e9DbDeA5dDa1703402unidade1910027</v>
      </c>
      <c r="D230" s="13" t="s">
        <v>292</v>
      </c>
      <c r="E230" s="8" t="s">
        <v>692</v>
      </c>
      <c r="F230" s="8">
        <f t="shared" si="22"/>
        <v>0</v>
      </c>
      <c r="G230" s="8">
        <f t="shared" si="22"/>
        <v>0</v>
      </c>
      <c r="H230" s="8">
        <f t="shared" si="22"/>
        <v>0</v>
      </c>
      <c r="I230" s="8">
        <f t="shared" si="22"/>
        <v>8</v>
      </c>
      <c r="J230" s="8">
        <f t="shared" si="23"/>
        <v>0</v>
      </c>
      <c r="K230" s="15">
        <v>1.5046296248328872E-3</v>
      </c>
      <c r="M230" s="8">
        <f t="shared" si="24"/>
        <v>325</v>
      </c>
      <c r="N230" s="9" t="s">
        <v>63</v>
      </c>
      <c r="O230" s="9" t="s">
        <v>16</v>
      </c>
      <c r="P230" s="9">
        <v>1703</v>
      </c>
      <c r="Q230" s="9">
        <v>402</v>
      </c>
      <c r="R230" s="8" t="s">
        <v>17</v>
      </c>
      <c r="S230" s="11">
        <v>191</v>
      </c>
      <c r="T230" s="10">
        <v>0.27</v>
      </c>
    </row>
    <row r="231" spans="1:20" x14ac:dyDescent="0.3">
      <c r="A231" s="7">
        <f t="shared" si="25"/>
        <v>226</v>
      </c>
      <c r="B231" s="8">
        <v>51</v>
      </c>
      <c r="C231" s="9" t="str">
        <f t="shared" si="21"/>
        <v>3260x85185fe3A4e36079818Ba1d12705A9B6898997040xa60AdD2af71a4f50b3F94509E71a1e9DbDeA5dDa1565110unidade1020027</v>
      </c>
      <c r="D231" s="13" t="s">
        <v>293</v>
      </c>
      <c r="E231" s="8" t="s">
        <v>693</v>
      </c>
      <c r="F231" s="8">
        <f t="shared" si="22"/>
        <v>0</v>
      </c>
      <c r="G231" s="8">
        <f t="shared" si="22"/>
        <v>0</v>
      </c>
      <c r="H231" s="8">
        <f t="shared" si="22"/>
        <v>0</v>
      </c>
      <c r="I231" s="8">
        <f t="shared" si="22"/>
        <v>5</v>
      </c>
      <c r="J231" s="8">
        <f t="shared" si="23"/>
        <v>0</v>
      </c>
      <c r="K231" s="15">
        <v>1.1574076779652387E-5</v>
      </c>
      <c r="M231" s="8">
        <f t="shared" si="24"/>
        <v>326</v>
      </c>
      <c r="N231" s="9" t="s">
        <v>63</v>
      </c>
      <c r="O231" s="9" t="s">
        <v>16</v>
      </c>
      <c r="P231" s="9">
        <v>1565</v>
      </c>
      <c r="Q231" s="9">
        <v>110</v>
      </c>
      <c r="R231" s="8" t="s">
        <v>17</v>
      </c>
      <c r="S231" s="11">
        <v>102</v>
      </c>
      <c r="T231" s="10">
        <v>0.27</v>
      </c>
    </row>
    <row r="232" spans="1:20" x14ac:dyDescent="0.3">
      <c r="A232" s="7">
        <f t="shared" si="25"/>
        <v>227</v>
      </c>
      <c r="B232" s="8">
        <v>3495</v>
      </c>
      <c r="C232" s="9" t="str">
        <f t="shared" si="21"/>
        <v>3270x85185fe3A4e36079818Ba1d12705A9B6898997040xa60AdD2af71a4f50b3F94509E71a1e9DbDeA5dDa1852350unidade1360027</v>
      </c>
      <c r="D232" s="13" t="s">
        <v>294</v>
      </c>
      <c r="E232" s="8" t="s">
        <v>694</v>
      </c>
      <c r="F232" s="8">
        <f t="shared" si="22"/>
        <v>0</v>
      </c>
      <c r="G232" s="8">
        <f t="shared" si="22"/>
        <v>0</v>
      </c>
      <c r="H232" s="8">
        <f t="shared" si="22"/>
        <v>0</v>
      </c>
      <c r="I232" s="8">
        <f t="shared" si="22"/>
        <v>0</v>
      </c>
      <c r="J232" s="8">
        <f t="shared" si="23"/>
        <v>0</v>
      </c>
      <c r="K232" s="15">
        <v>7.1759259299142286E-4</v>
      </c>
      <c r="M232" s="8">
        <f t="shared" si="24"/>
        <v>327</v>
      </c>
      <c r="N232" s="9" t="s">
        <v>63</v>
      </c>
      <c r="O232" s="9" t="s">
        <v>16</v>
      </c>
      <c r="P232" s="9">
        <v>1852</v>
      </c>
      <c r="Q232" s="9">
        <v>350</v>
      </c>
      <c r="R232" s="8" t="s">
        <v>17</v>
      </c>
      <c r="S232" s="11">
        <v>136</v>
      </c>
      <c r="T232" s="10">
        <v>0.27</v>
      </c>
    </row>
    <row r="233" spans="1:20" x14ac:dyDescent="0.3">
      <c r="A233" s="7">
        <f t="shared" si="25"/>
        <v>228</v>
      </c>
      <c r="B233" s="8">
        <v>5012</v>
      </c>
      <c r="C233" s="9" t="str">
        <f t="shared" si="21"/>
        <v>3280x85185fe3A4e36079818Ba1d12705A9B6898997040xa60AdD2af71a4f50b3F94509E71a1e9DbDeA5dDa1664453unidade1960027</v>
      </c>
      <c r="D233" s="13" t="s">
        <v>295</v>
      </c>
      <c r="E233" s="8" t="s">
        <v>695</v>
      </c>
      <c r="F233" s="8">
        <f t="shared" si="22"/>
        <v>0</v>
      </c>
      <c r="G233" s="8">
        <f t="shared" si="22"/>
        <v>0</v>
      </c>
      <c r="H233" s="8">
        <f t="shared" si="22"/>
        <v>0</v>
      </c>
      <c r="I233" s="8">
        <f t="shared" si="22"/>
        <v>1</v>
      </c>
      <c r="J233" s="8">
        <f t="shared" si="23"/>
        <v>0</v>
      </c>
      <c r="K233" s="15">
        <v>1.0532407395658083E-3</v>
      </c>
      <c r="M233" s="8">
        <f t="shared" si="24"/>
        <v>328</v>
      </c>
      <c r="N233" s="9" t="s">
        <v>63</v>
      </c>
      <c r="O233" s="9" t="s">
        <v>16</v>
      </c>
      <c r="P233" s="9">
        <v>1664</v>
      </c>
      <c r="Q233" s="9">
        <v>453</v>
      </c>
      <c r="R233" s="8" t="s">
        <v>17</v>
      </c>
      <c r="S233" s="11">
        <v>196</v>
      </c>
      <c r="T233" s="10">
        <v>0.27</v>
      </c>
    </row>
    <row r="234" spans="1:20" x14ac:dyDescent="0.3">
      <c r="A234" s="7">
        <f t="shared" si="25"/>
        <v>229</v>
      </c>
      <c r="B234" s="8">
        <v>4185</v>
      </c>
      <c r="C234" s="9" t="str">
        <f t="shared" ref="C234:C297" si="26">M234&amp;N234&amp;O234&amp;P234&amp;Q234&amp;R234&amp;(S234*100)&amp;(T234*100)</f>
        <v>3290x85185fe3A4e36079818Ba1d12705A9B6898997040xa60AdD2af71a4f50b3F94509E71a1e9DbDeA5dDa1619484unidade980027</v>
      </c>
      <c r="D234" s="13" t="s">
        <v>296</v>
      </c>
      <c r="E234" s="8" t="s">
        <v>696</v>
      </c>
      <c r="F234" s="8">
        <f t="shared" ref="F234:I297" si="27">IFERROR(VALUE(MID($E234,F$1,1)),1)</f>
        <v>0</v>
      </c>
      <c r="G234" s="8">
        <f t="shared" si="27"/>
        <v>0</v>
      </c>
      <c r="H234" s="8">
        <f t="shared" si="27"/>
        <v>0</v>
      </c>
      <c r="I234" s="8">
        <f t="shared" si="27"/>
        <v>0</v>
      </c>
      <c r="J234" s="8">
        <f t="shared" ref="J234:J297" si="28">SUM(F234:H234)</f>
        <v>0</v>
      </c>
      <c r="K234" s="15">
        <v>1.3541666630771942E-3</v>
      </c>
      <c r="M234" s="8">
        <f t="shared" si="24"/>
        <v>329</v>
      </c>
      <c r="N234" s="9" t="s">
        <v>63</v>
      </c>
      <c r="O234" s="9" t="s">
        <v>16</v>
      </c>
      <c r="P234" s="9">
        <v>1619</v>
      </c>
      <c r="Q234" s="9">
        <v>484</v>
      </c>
      <c r="R234" s="8" t="s">
        <v>17</v>
      </c>
      <c r="S234" s="11">
        <v>98</v>
      </c>
      <c r="T234" s="10">
        <v>0.27</v>
      </c>
    </row>
    <row r="235" spans="1:20" x14ac:dyDescent="0.3">
      <c r="A235" s="7">
        <f t="shared" si="25"/>
        <v>230</v>
      </c>
      <c r="B235" s="8">
        <v>460</v>
      </c>
      <c r="C235" s="9" t="str">
        <f t="shared" si="26"/>
        <v>3300x85185fe3A4e36079818Ba1d12705A9B6898997040xa60AdD2af71a4f50b3F94509E71a1e9DbDeA5dDa1943477unidade1750027</v>
      </c>
      <c r="D235" s="13" t="s">
        <v>297</v>
      </c>
      <c r="E235" s="8" t="s">
        <v>697</v>
      </c>
      <c r="F235" s="8">
        <f t="shared" si="27"/>
        <v>0</v>
      </c>
      <c r="G235" s="8">
        <f t="shared" si="27"/>
        <v>0</v>
      </c>
      <c r="H235" s="8">
        <f t="shared" si="27"/>
        <v>0</v>
      </c>
      <c r="I235" s="8">
        <f t="shared" si="27"/>
        <v>9</v>
      </c>
      <c r="J235" s="8">
        <f t="shared" si="28"/>
        <v>0</v>
      </c>
      <c r="K235" s="15">
        <v>1.3888889225199819E-4</v>
      </c>
      <c r="M235" s="8">
        <f t="shared" si="24"/>
        <v>330</v>
      </c>
      <c r="N235" s="9" t="s">
        <v>63</v>
      </c>
      <c r="O235" s="9" t="s">
        <v>16</v>
      </c>
      <c r="P235" s="9">
        <v>1943</v>
      </c>
      <c r="Q235" s="9">
        <v>477</v>
      </c>
      <c r="R235" s="8" t="s">
        <v>17</v>
      </c>
      <c r="S235" s="11">
        <v>175</v>
      </c>
      <c r="T235" s="10">
        <v>0.27</v>
      </c>
    </row>
    <row r="236" spans="1:20" x14ac:dyDescent="0.3">
      <c r="A236" s="7">
        <f t="shared" si="25"/>
        <v>231</v>
      </c>
      <c r="B236" s="8">
        <v>843</v>
      </c>
      <c r="C236" s="9" t="str">
        <f t="shared" si="26"/>
        <v>3310x85185fe3A4e36079818Ba1d12705A9B6898997040xa60AdD2af71a4f50b3F94509E71a1e9DbDeA5dDa1037363unidade1220027</v>
      </c>
      <c r="D236" s="13" t="s">
        <v>298</v>
      </c>
      <c r="E236" s="8" t="s">
        <v>698</v>
      </c>
      <c r="F236" s="8">
        <f t="shared" si="27"/>
        <v>0</v>
      </c>
      <c r="G236" s="8">
        <f t="shared" si="27"/>
        <v>0</v>
      </c>
      <c r="H236" s="8">
        <f t="shared" si="27"/>
        <v>0</v>
      </c>
      <c r="I236" s="8">
        <f t="shared" si="27"/>
        <v>3</v>
      </c>
      <c r="J236" s="8">
        <f t="shared" si="28"/>
        <v>0</v>
      </c>
      <c r="K236" s="15">
        <v>2.546296309446916E-4</v>
      </c>
      <c r="M236" s="8">
        <f t="shared" si="24"/>
        <v>331</v>
      </c>
      <c r="N236" s="9" t="s">
        <v>63</v>
      </c>
      <c r="O236" s="9" t="s">
        <v>16</v>
      </c>
      <c r="P236" s="9">
        <v>1037</v>
      </c>
      <c r="Q236" s="9">
        <v>363</v>
      </c>
      <c r="R236" s="8" t="s">
        <v>17</v>
      </c>
      <c r="S236" s="11">
        <v>122</v>
      </c>
      <c r="T236" s="10">
        <v>0.27</v>
      </c>
    </row>
    <row r="237" spans="1:20" x14ac:dyDescent="0.3">
      <c r="A237" s="7">
        <f t="shared" si="25"/>
        <v>232</v>
      </c>
      <c r="B237" s="8">
        <v>1717</v>
      </c>
      <c r="C237" s="9" t="str">
        <f t="shared" si="26"/>
        <v>3320x85185fe3A4e36079818Ba1d12705A9B6898997040xa60AdD2af71a4f50b3F94509E71a1e9DbDeA5dDa1651198unidade500027</v>
      </c>
      <c r="D237" s="13" t="s">
        <v>299</v>
      </c>
      <c r="E237" s="8" t="s">
        <v>699</v>
      </c>
      <c r="F237" s="8">
        <f t="shared" si="27"/>
        <v>0</v>
      </c>
      <c r="G237" s="8">
        <f t="shared" si="27"/>
        <v>0</v>
      </c>
      <c r="H237" s="8">
        <f t="shared" si="27"/>
        <v>0</v>
      </c>
      <c r="I237" s="8">
        <f t="shared" si="27"/>
        <v>1</v>
      </c>
      <c r="J237" s="8">
        <f t="shared" si="28"/>
        <v>0</v>
      </c>
      <c r="K237" s="15">
        <v>5.2083333139307797E-4</v>
      </c>
      <c r="M237" s="8">
        <f t="shared" si="24"/>
        <v>332</v>
      </c>
      <c r="N237" s="9" t="s">
        <v>63</v>
      </c>
      <c r="O237" s="9" t="s">
        <v>16</v>
      </c>
      <c r="P237" s="9">
        <v>1651</v>
      </c>
      <c r="Q237" s="9">
        <v>198</v>
      </c>
      <c r="R237" s="8" t="s">
        <v>17</v>
      </c>
      <c r="S237" s="11">
        <v>50</v>
      </c>
      <c r="T237" s="10">
        <v>0.27</v>
      </c>
    </row>
    <row r="238" spans="1:20" x14ac:dyDescent="0.3">
      <c r="A238" s="7">
        <f t="shared" si="25"/>
        <v>233</v>
      </c>
      <c r="B238" s="8">
        <v>4817</v>
      </c>
      <c r="C238" s="9" t="str">
        <f t="shared" si="26"/>
        <v>3330x85185fe3A4e36079818Ba1d12705A9B6898997040xa60AdD2af71a4f50b3F94509E71a1e9DbDeA5dDa1516199unidade2020027</v>
      </c>
      <c r="D238" s="13" t="s">
        <v>300</v>
      </c>
      <c r="E238" s="8" t="s">
        <v>700</v>
      </c>
      <c r="F238" s="8">
        <f t="shared" si="27"/>
        <v>0</v>
      </c>
      <c r="G238" s="8">
        <f t="shared" si="27"/>
        <v>0</v>
      </c>
      <c r="H238" s="8">
        <f t="shared" si="27"/>
        <v>0</v>
      </c>
      <c r="I238" s="8">
        <f t="shared" si="27"/>
        <v>1</v>
      </c>
      <c r="J238" s="8">
        <f t="shared" si="28"/>
        <v>0</v>
      </c>
      <c r="K238" s="15">
        <v>1.4120370396994986E-3</v>
      </c>
      <c r="M238" s="8">
        <f t="shared" si="24"/>
        <v>333</v>
      </c>
      <c r="N238" s="9" t="s">
        <v>63</v>
      </c>
      <c r="O238" s="9" t="s">
        <v>16</v>
      </c>
      <c r="P238" s="9">
        <v>1516</v>
      </c>
      <c r="Q238" s="9">
        <v>199</v>
      </c>
      <c r="R238" s="8" t="s">
        <v>17</v>
      </c>
      <c r="S238" s="11">
        <v>202</v>
      </c>
      <c r="T238" s="10">
        <v>0.27</v>
      </c>
    </row>
    <row r="239" spans="1:20" x14ac:dyDescent="0.3">
      <c r="A239" s="7">
        <f t="shared" si="25"/>
        <v>234</v>
      </c>
      <c r="B239" s="8">
        <v>2185</v>
      </c>
      <c r="C239" s="9" t="str">
        <f t="shared" si="26"/>
        <v>3340x85185fe3A4e36079818Ba1d12705A9B6898997040xa60AdD2af71a4f50b3F94509E71a1e9DbDeA5dDa1767338unidade1650027</v>
      </c>
      <c r="D239" s="13" t="s">
        <v>301</v>
      </c>
      <c r="E239" s="8" t="s">
        <v>701</v>
      </c>
      <c r="F239" s="8">
        <f t="shared" si="27"/>
        <v>0</v>
      </c>
      <c r="G239" s="8">
        <f t="shared" si="27"/>
        <v>0</v>
      </c>
      <c r="H239" s="8">
        <f t="shared" si="27"/>
        <v>0</v>
      </c>
      <c r="I239" s="8">
        <f t="shared" si="27"/>
        <v>9</v>
      </c>
      <c r="J239" s="8">
        <f t="shared" si="28"/>
        <v>0</v>
      </c>
      <c r="K239" s="15">
        <v>4.7453703155042604E-4</v>
      </c>
      <c r="M239" s="8">
        <f t="shared" si="24"/>
        <v>334</v>
      </c>
      <c r="N239" s="9" t="s">
        <v>63</v>
      </c>
      <c r="O239" s="9" t="s">
        <v>16</v>
      </c>
      <c r="P239" s="9">
        <v>1767</v>
      </c>
      <c r="Q239" s="9">
        <v>338</v>
      </c>
      <c r="R239" s="8" t="s">
        <v>17</v>
      </c>
      <c r="S239" s="11">
        <v>165</v>
      </c>
      <c r="T239" s="10">
        <v>0.27</v>
      </c>
    </row>
    <row r="240" spans="1:20" x14ac:dyDescent="0.3">
      <c r="A240" s="7">
        <f t="shared" si="25"/>
        <v>235</v>
      </c>
      <c r="B240" s="8">
        <v>19235</v>
      </c>
      <c r="C240" s="9" t="str">
        <f t="shared" si="26"/>
        <v>3350x85185fe3A4e36079818Ba1d12705A9B6898997040xa60AdD2af71a4f50b3F94509E71a1e9DbDeA5dDa1624386unidade1710027</v>
      </c>
      <c r="D240" s="13" t="s">
        <v>302</v>
      </c>
      <c r="E240" s="8" t="s">
        <v>702</v>
      </c>
      <c r="F240" s="8">
        <f t="shared" si="27"/>
        <v>0</v>
      </c>
      <c r="G240" s="8">
        <f t="shared" si="27"/>
        <v>0</v>
      </c>
      <c r="H240" s="8">
        <f t="shared" si="27"/>
        <v>0</v>
      </c>
      <c r="I240" s="8">
        <f t="shared" si="27"/>
        <v>1</v>
      </c>
      <c r="J240" s="8">
        <f t="shared" si="28"/>
        <v>0</v>
      </c>
      <c r="K240" s="15">
        <v>3.9814814808778465E-3</v>
      </c>
      <c r="M240" s="8">
        <f t="shared" si="24"/>
        <v>335</v>
      </c>
      <c r="N240" s="9" t="s">
        <v>63</v>
      </c>
      <c r="O240" s="9" t="s">
        <v>16</v>
      </c>
      <c r="P240" s="9">
        <v>1624</v>
      </c>
      <c r="Q240" s="9">
        <v>386</v>
      </c>
      <c r="R240" s="8" t="s">
        <v>17</v>
      </c>
      <c r="S240" s="11">
        <v>171</v>
      </c>
      <c r="T240" s="10">
        <v>0.27</v>
      </c>
    </row>
    <row r="241" spans="1:20" x14ac:dyDescent="0.3">
      <c r="A241" s="7">
        <f t="shared" si="25"/>
        <v>236</v>
      </c>
      <c r="B241" s="8">
        <v>3488</v>
      </c>
      <c r="C241" s="9" t="str">
        <f t="shared" si="26"/>
        <v>3360x85185fe3A4e36079818Ba1d12705A9B6898997040xa60AdD2af71a4f50b3F94509E71a1e9DbDeA5dDa1702490unidade1410027</v>
      </c>
      <c r="D241" s="13" t="s">
        <v>303</v>
      </c>
      <c r="E241" s="8" t="s">
        <v>703</v>
      </c>
      <c r="F241" s="8">
        <f t="shared" si="27"/>
        <v>0</v>
      </c>
      <c r="G241" s="8">
        <f t="shared" si="27"/>
        <v>0</v>
      </c>
      <c r="H241" s="8">
        <f t="shared" si="27"/>
        <v>0</v>
      </c>
      <c r="I241" s="8">
        <f t="shared" si="27"/>
        <v>1</v>
      </c>
      <c r="J241" s="8">
        <f t="shared" si="28"/>
        <v>0</v>
      </c>
      <c r="K241" s="15">
        <v>7.1759259299142286E-4</v>
      </c>
      <c r="M241" s="8">
        <f t="shared" si="24"/>
        <v>336</v>
      </c>
      <c r="N241" s="9" t="s">
        <v>63</v>
      </c>
      <c r="O241" s="9" t="s">
        <v>16</v>
      </c>
      <c r="P241" s="9">
        <v>1702</v>
      </c>
      <c r="Q241" s="9">
        <v>490</v>
      </c>
      <c r="R241" s="8" t="s">
        <v>17</v>
      </c>
      <c r="S241" s="11">
        <v>141</v>
      </c>
      <c r="T241" s="10">
        <v>0.27</v>
      </c>
    </row>
    <row r="242" spans="1:20" x14ac:dyDescent="0.3">
      <c r="A242" s="7">
        <f t="shared" si="25"/>
        <v>237</v>
      </c>
      <c r="B242" s="8">
        <v>6945</v>
      </c>
      <c r="C242" s="9" t="str">
        <f t="shared" si="26"/>
        <v>3370x85185fe3A4e36079818Ba1d12705A9B6898997040xa60AdD2af71a4f50b3F94509E71a1e9DbDeA5dDa1767203unidade2440027</v>
      </c>
      <c r="D242" s="13" t="s">
        <v>304</v>
      </c>
      <c r="E242" s="8" t="s">
        <v>704</v>
      </c>
      <c r="F242" s="8">
        <f t="shared" si="27"/>
        <v>0</v>
      </c>
      <c r="G242" s="8">
        <f t="shared" si="27"/>
        <v>0</v>
      </c>
      <c r="H242" s="8">
        <f t="shared" si="27"/>
        <v>0</v>
      </c>
      <c r="I242" s="8">
        <f t="shared" si="27"/>
        <v>5</v>
      </c>
      <c r="J242" s="8">
        <f t="shared" si="28"/>
        <v>0</v>
      </c>
      <c r="K242" s="15">
        <v>1.4699074090458453E-3</v>
      </c>
      <c r="M242" s="8">
        <f t="shared" si="24"/>
        <v>337</v>
      </c>
      <c r="N242" s="9" t="s">
        <v>63</v>
      </c>
      <c r="O242" s="9" t="s">
        <v>16</v>
      </c>
      <c r="P242" s="9">
        <v>1767</v>
      </c>
      <c r="Q242" s="9">
        <v>203</v>
      </c>
      <c r="R242" s="8" t="s">
        <v>17</v>
      </c>
      <c r="S242" s="11">
        <v>244</v>
      </c>
      <c r="T242" s="10">
        <v>0.27</v>
      </c>
    </row>
    <row r="243" spans="1:20" x14ac:dyDescent="0.3">
      <c r="A243" s="7">
        <f t="shared" si="25"/>
        <v>238</v>
      </c>
      <c r="B243" s="8">
        <v>4405</v>
      </c>
      <c r="C243" s="9" t="str">
        <f t="shared" si="26"/>
        <v>3380x85185fe3A4e36079818Ba1d12705A9B6898997040xa60AdD2af71a4f50b3F94509E71a1e9DbDeA5dDa1662389unidade1490027</v>
      </c>
      <c r="D243" s="13" t="s">
        <v>305</v>
      </c>
      <c r="E243" s="8" t="s">
        <v>705</v>
      </c>
      <c r="F243" s="8">
        <f t="shared" si="27"/>
        <v>0</v>
      </c>
      <c r="G243" s="8">
        <f t="shared" si="27"/>
        <v>0</v>
      </c>
      <c r="H243" s="8">
        <f t="shared" si="27"/>
        <v>0</v>
      </c>
      <c r="I243" s="8">
        <f t="shared" si="27"/>
        <v>4</v>
      </c>
      <c r="J243" s="8">
        <f t="shared" si="28"/>
        <v>0</v>
      </c>
      <c r="K243" s="15">
        <v>9.2592592409346253E-4</v>
      </c>
      <c r="M243" s="8">
        <f t="shared" si="24"/>
        <v>338</v>
      </c>
      <c r="N243" s="9" t="s">
        <v>63</v>
      </c>
      <c r="O243" s="9" t="s">
        <v>16</v>
      </c>
      <c r="P243" s="9">
        <v>1662</v>
      </c>
      <c r="Q243" s="9">
        <v>389</v>
      </c>
      <c r="R243" s="8" t="s">
        <v>17</v>
      </c>
      <c r="S243" s="11">
        <v>149</v>
      </c>
      <c r="T243" s="10">
        <v>0.27</v>
      </c>
    </row>
    <row r="244" spans="1:20" x14ac:dyDescent="0.3">
      <c r="A244" s="7">
        <f t="shared" si="25"/>
        <v>239</v>
      </c>
      <c r="B244" s="8">
        <v>1199</v>
      </c>
      <c r="C244" s="9" t="str">
        <f t="shared" si="26"/>
        <v>3390x85185fe3A4e36079818Ba1d12705A9B6898997040xa60AdD2af71a4f50b3F94509E71a1e9DbDeA5dDa1254194unidade1790027</v>
      </c>
      <c r="D244" s="13" t="s">
        <v>306</v>
      </c>
      <c r="E244" s="8" t="s">
        <v>706</v>
      </c>
      <c r="F244" s="8">
        <f t="shared" si="27"/>
        <v>0</v>
      </c>
      <c r="G244" s="8">
        <f t="shared" si="27"/>
        <v>0</v>
      </c>
      <c r="H244" s="8">
        <f t="shared" si="27"/>
        <v>0</v>
      </c>
      <c r="I244" s="8">
        <f t="shared" si="27"/>
        <v>9</v>
      </c>
      <c r="J244" s="8">
        <f t="shared" si="28"/>
        <v>0</v>
      </c>
      <c r="K244" s="15">
        <v>2.546296309446916E-4</v>
      </c>
      <c r="M244" s="8">
        <f t="shared" si="24"/>
        <v>339</v>
      </c>
      <c r="N244" s="9" t="s">
        <v>63</v>
      </c>
      <c r="O244" s="9" t="s">
        <v>16</v>
      </c>
      <c r="P244" s="9">
        <v>1254</v>
      </c>
      <c r="Q244" s="9">
        <v>194</v>
      </c>
      <c r="R244" s="8" t="s">
        <v>17</v>
      </c>
      <c r="S244" s="11">
        <v>179</v>
      </c>
      <c r="T244" s="10">
        <v>0.27</v>
      </c>
    </row>
    <row r="245" spans="1:20" x14ac:dyDescent="0.3">
      <c r="A245" s="7">
        <f t="shared" si="25"/>
        <v>240</v>
      </c>
      <c r="B245" s="8">
        <v>5434</v>
      </c>
      <c r="C245" s="9" t="str">
        <f t="shared" si="26"/>
        <v>3400x85185fe3A4e36079818Ba1d12705A9B6898997040xa60AdD2af71a4f50b3F94509E71a1e9DbDeA5dDa1354378unidade1920027</v>
      </c>
      <c r="D245" s="13" t="s">
        <v>307</v>
      </c>
      <c r="E245" s="8" t="s">
        <v>707</v>
      </c>
      <c r="F245" s="8">
        <f t="shared" si="27"/>
        <v>0</v>
      </c>
      <c r="G245" s="8">
        <f t="shared" si="27"/>
        <v>0</v>
      </c>
      <c r="H245" s="8">
        <f t="shared" si="27"/>
        <v>0</v>
      </c>
      <c r="I245" s="8">
        <f t="shared" si="27"/>
        <v>3</v>
      </c>
      <c r="J245" s="8">
        <f t="shared" si="28"/>
        <v>0</v>
      </c>
      <c r="K245" s="15">
        <v>1.1111111161881126E-3</v>
      </c>
      <c r="M245" s="8">
        <f t="shared" si="24"/>
        <v>340</v>
      </c>
      <c r="N245" s="9" t="s">
        <v>63</v>
      </c>
      <c r="O245" s="9" t="s">
        <v>16</v>
      </c>
      <c r="P245" s="9">
        <v>1354</v>
      </c>
      <c r="Q245" s="9">
        <v>378</v>
      </c>
      <c r="R245" s="8" t="s">
        <v>17</v>
      </c>
      <c r="S245" s="11">
        <v>192</v>
      </c>
      <c r="T245" s="10">
        <v>0.27</v>
      </c>
    </row>
    <row r="246" spans="1:20" x14ac:dyDescent="0.3">
      <c r="A246" s="7">
        <f t="shared" si="25"/>
        <v>241</v>
      </c>
      <c r="B246" s="8">
        <v>7568</v>
      </c>
      <c r="C246" s="9" t="str">
        <f t="shared" si="26"/>
        <v>3410x85185fe3A4e36079818Ba1d12705A9B6898997040xa60AdD2af71a4f50b3F94509E71a1e9DbDeA5dDa1269367unidade660027</v>
      </c>
      <c r="D246" s="13" t="s">
        <v>308</v>
      </c>
      <c r="E246" s="8" t="s">
        <v>708</v>
      </c>
      <c r="F246" s="8">
        <f t="shared" si="27"/>
        <v>0</v>
      </c>
      <c r="G246" s="8">
        <f t="shared" si="27"/>
        <v>0</v>
      </c>
      <c r="H246" s="8">
        <f t="shared" si="27"/>
        <v>0</v>
      </c>
      <c r="I246" s="8">
        <f t="shared" si="27"/>
        <v>0</v>
      </c>
      <c r="J246" s="8">
        <f t="shared" si="28"/>
        <v>0</v>
      </c>
      <c r="K246" s="15">
        <v>1.5624999941792339E-3</v>
      </c>
      <c r="M246" s="8">
        <f t="shared" si="24"/>
        <v>341</v>
      </c>
      <c r="N246" s="9" t="s">
        <v>63</v>
      </c>
      <c r="O246" s="9" t="s">
        <v>16</v>
      </c>
      <c r="P246" s="9">
        <v>1269</v>
      </c>
      <c r="Q246" s="9">
        <v>367</v>
      </c>
      <c r="R246" s="8" t="s">
        <v>17</v>
      </c>
      <c r="S246" s="11">
        <v>66</v>
      </c>
      <c r="T246" s="10">
        <v>0.27</v>
      </c>
    </row>
    <row r="247" spans="1:20" x14ac:dyDescent="0.3">
      <c r="A247" s="7">
        <f t="shared" si="25"/>
        <v>242</v>
      </c>
      <c r="B247" s="8">
        <v>3888</v>
      </c>
      <c r="C247" s="9" t="str">
        <f t="shared" si="26"/>
        <v>3420x85185fe3A4e36079818Ba1d12705A9B6898997040xa60AdD2af71a4f50b3F94509E71a1e9DbDeA5dDa1756102unidade700027</v>
      </c>
      <c r="D247" s="13" t="s">
        <v>309</v>
      </c>
      <c r="E247" s="8" t="s">
        <v>709</v>
      </c>
      <c r="F247" s="8">
        <f t="shared" si="27"/>
        <v>0</v>
      </c>
      <c r="G247" s="8">
        <f t="shared" si="27"/>
        <v>0</v>
      </c>
      <c r="H247" s="8">
        <f t="shared" si="27"/>
        <v>0</v>
      </c>
      <c r="I247" s="8">
        <f t="shared" si="27"/>
        <v>1</v>
      </c>
      <c r="J247" s="8">
        <f t="shared" si="28"/>
        <v>0</v>
      </c>
      <c r="K247" s="15">
        <v>8.217592621804215E-4</v>
      </c>
      <c r="M247" s="8">
        <f t="shared" si="24"/>
        <v>342</v>
      </c>
      <c r="N247" s="9" t="s">
        <v>63</v>
      </c>
      <c r="O247" s="9" t="s">
        <v>16</v>
      </c>
      <c r="P247" s="9">
        <v>1756</v>
      </c>
      <c r="Q247" s="9">
        <v>102</v>
      </c>
      <c r="R247" s="8" t="s">
        <v>17</v>
      </c>
      <c r="S247" s="11">
        <v>70</v>
      </c>
      <c r="T247" s="10">
        <v>0.27</v>
      </c>
    </row>
    <row r="248" spans="1:20" x14ac:dyDescent="0.3">
      <c r="A248" s="7">
        <f t="shared" si="25"/>
        <v>243</v>
      </c>
      <c r="B248" s="8">
        <v>2902</v>
      </c>
      <c r="C248" s="9" t="str">
        <f t="shared" si="26"/>
        <v>3430x85185fe3A4e36079818Ba1d12705A9B6898997040xa60AdD2af71a4f50b3F94509E71a1e9DbDeA5dDa1253401unidade2130027</v>
      </c>
      <c r="D248" s="13" t="s">
        <v>310</v>
      </c>
      <c r="E248" s="8" t="s">
        <v>710</v>
      </c>
      <c r="F248" s="8">
        <f t="shared" si="27"/>
        <v>0</v>
      </c>
      <c r="G248" s="8">
        <f t="shared" si="27"/>
        <v>0</v>
      </c>
      <c r="H248" s="8">
        <f t="shared" si="27"/>
        <v>0</v>
      </c>
      <c r="I248" s="8">
        <f t="shared" si="27"/>
        <v>0</v>
      </c>
      <c r="J248" s="8">
        <f t="shared" si="28"/>
        <v>0</v>
      </c>
      <c r="K248" s="15">
        <v>6.0185185429872945E-4</v>
      </c>
      <c r="M248" s="8">
        <f t="shared" si="24"/>
        <v>343</v>
      </c>
      <c r="N248" s="9" t="s">
        <v>63</v>
      </c>
      <c r="O248" s="9" t="s">
        <v>16</v>
      </c>
      <c r="P248" s="9">
        <v>1253</v>
      </c>
      <c r="Q248" s="9">
        <v>401</v>
      </c>
      <c r="R248" s="8" t="s">
        <v>17</v>
      </c>
      <c r="S248" s="11">
        <v>213</v>
      </c>
      <c r="T248" s="10">
        <v>0.27</v>
      </c>
    </row>
    <row r="249" spans="1:20" x14ac:dyDescent="0.3">
      <c r="A249" s="7">
        <f t="shared" si="25"/>
        <v>244</v>
      </c>
      <c r="B249" s="8">
        <v>5595</v>
      </c>
      <c r="C249" s="9" t="str">
        <f t="shared" si="26"/>
        <v>3440x85185fe3A4e36079818Ba1d12705A9B6898997040xa60AdD2af71a4f50b3F94509E71a1e9DbDeA5dDa1383484unidade2310027</v>
      </c>
      <c r="D249" s="13" t="s">
        <v>311</v>
      </c>
      <c r="E249" s="8" t="s">
        <v>711</v>
      </c>
      <c r="F249" s="8">
        <f t="shared" si="27"/>
        <v>0</v>
      </c>
      <c r="G249" s="8">
        <f t="shared" si="27"/>
        <v>0</v>
      </c>
      <c r="H249" s="8">
        <f t="shared" si="27"/>
        <v>0</v>
      </c>
      <c r="I249" s="8">
        <f t="shared" si="27"/>
        <v>1</v>
      </c>
      <c r="J249" s="8">
        <f t="shared" si="28"/>
        <v>0</v>
      </c>
      <c r="K249" s="15">
        <v>1.1805555550381541E-3</v>
      </c>
      <c r="M249" s="8">
        <f t="shared" si="24"/>
        <v>344</v>
      </c>
      <c r="N249" s="9" t="s">
        <v>63</v>
      </c>
      <c r="O249" s="9" t="s">
        <v>16</v>
      </c>
      <c r="P249" s="9">
        <v>1383</v>
      </c>
      <c r="Q249" s="9">
        <v>484</v>
      </c>
      <c r="R249" s="8" t="s">
        <v>17</v>
      </c>
      <c r="S249" s="11">
        <v>231</v>
      </c>
      <c r="T249" s="10">
        <v>0.27</v>
      </c>
    </row>
    <row r="250" spans="1:20" x14ac:dyDescent="0.3">
      <c r="A250" s="7">
        <f t="shared" si="25"/>
        <v>245</v>
      </c>
      <c r="B250" s="8">
        <v>884</v>
      </c>
      <c r="C250" s="9" t="str">
        <f t="shared" si="26"/>
        <v>3450x85185fe3A4e36079818Ba1d12705A9B6898997040xa60AdD2af71a4f50b3F94509E71a1e9DbDeA5dDa1105352unidade1450027</v>
      </c>
      <c r="D250" s="13" t="s">
        <v>312</v>
      </c>
      <c r="E250" s="8" t="s">
        <v>712</v>
      </c>
      <c r="F250" s="8">
        <f t="shared" si="27"/>
        <v>0</v>
      </c>
      <c r="G250" s="8">
        <f t="shared" si="27"/>
        <v>0</v>
      </c>
      <c r="H250" s="8">
        <f t="shared" si="27"/>
        <v>0</v>
      </c>
      <c r="I250" s="8">
        <f t="shared" si="27"/>
        <v>0</v>
      </c>
      <c r="J250" s="8">
        <f t="shared" si="28"/>
        <v>0</v>
      </c>
      <c r="K250" s="15">
        <v>1.7361110803904012E-4</v>
      </c>
      <c r="M250" s="8">
        <f t="shared" si="24"/>
        <v>345</v>
      </c>
      <c r="N250" s="9" t="s">
        <v>63</v>
      </c>
      <c r="O250" s="9" t="s">
        <v>16</v>
      </c>
      <c r="P250" s="9">
        <v>1105</v>
      </c>
      <c r="Q250" s="9">
        <v>352</v>
      </c>
      <c r="R250" s="8" t="s">
        <v>17</v>
      </c>
      <c r="S250" s="11">
        <v>145</v>
      </c>
      <c r="T250" s="10">
        <v>0.27</v>
      </c>
    </row>
    <row r="251" spans="1:20" x14ac:dyDescent="0.3">
      <c r="A251" s="7">
        <f t="shared" si="25"/>
        <v>246</v>
      </c>
      <c r="B251" s="8">
        <v>196</v>
      </c>
      <c r="C251" s="9" t="str">
        <f t="shared" si="26"/>
        <v>3460x85185fe3A4e36079818Ba1d12705A9B6898997040xa60AdD2af71a4f50b3F94509E71a1e9DbDeA5dDa1720162unidade2450027</v>
      </c>
      <c r="D251" s="13" t="s">
        <v>313</v>
      </c>
      <c r="E251" s="8" t="s">
        <v>713</v>
      </c>
      <c r="F251" s="8">
        <f t="shared" si="27"/>
        <v>0</v>
      </c>
      <c r="G251" s="8">
        <f t="shared" si="27"/>
        <v>0</v>
      </c>
      <c r="H251" s="8">
        <f t="shared" si="27"/>
        <v>0</v>
      </c>
      <c r="I251" s="8">
        <f t="shared" si="27"/>
        <v>1</v>
      </c>
      <c r="J251" s="8">
        <f t="shared" si="28"/>
        <v>0</v>
      </c>
      <c r="K251" s="15">
        <v>4.6296299842651933E-5</v>
      </c>
      <c r="M251" s="8">
        <f t="shared" si="24"/>
        <v>346</v>
      </c>
      <c r="N251" s="9" t="s">
        <v>63</v>
      </c>
      <c r="O251" s="9" t="s">
        <v>16</v>
      </c>
      <c r="P251" s="9">
        <v>1720</v>
      </c>
      <c r="Q251" s="9">
        <v>162</v>
      </c>
      <c r="R251" s="8" t="s">
        <v>17</v>
      </c>
      <c r="S251" s="11">
        <v>245</v>
      </c>
      <c r="T251" s="10">
        <v>0.27</v>
      </c>
    </row>
    <row r="252" spans="1:20" x14ac:dyDescent="0.3">
      <c r="A252" s="7">
        <f t="shared" si="25"/>
        <v>247</v>
      </c>
      <c r="B252" s="8">
        <v>4766</v>
      </c>
      <c r="C252" s="9" t="str">
        <f t="shared" si="26"/>
        <v>3470x85185fe3A4e36079818Ba1d12705A9B6898997040xa60AdD2af71a4f50b3F94509E71a1e9DbDeA5dDa1865119unidade1250027</v>
      </c>
      <c r="D252" s="13" t="s">
        <v>314</v>
      </c>
      <c r="E252" s="8" t="s">
        <v>714</v>
      </c>
      <c r="F252" s="8">
        <f t="shared" si="27"/>
        <v>0</v>
      </c>
      <c r="G252" s="8">
        <f t="shared" si="27"/>
        <v>0</v>
      </c>
      <c r="H252" s="8">
        <f t="shared" si="27"/>
        <v>0</v>
      </c>
      <c r="I252" s="8">
        <f t="shared" si="27"/>
        <v>6</v>
      </c>
      <c r="J252" s="8">
        <f t="shared" si="28"/>
        <v>0</v>
      </c>
      <c r="K252" s="15">
        <v>9.8379629343980923E-4</v>
      </c>
      <c r="M252" s="8">
        <f t="shared" si="24"/>
        <v>347</v>
      </c>
      <c r="N252" s="9" t="s">
        <v>63</v>
      </c>
      <c r="O252" s="9" t="s">
        <v>16</v>
      </c>
      <c r="P252" s="9">
        <v>1865</v>
      </c>
      <c r="Q252" s="9">
        <v>119</v>
      </c>
      <c r="R252" s="8" t="s">
        <v>17</v>
      </c>
      <c r="S252" s="11">
        <v>125</v>
      </c>
      <c r="T252" s="10">
        <v>0.27</v>
      </c>
    </row>
    <row r="253" spans="1:20" x14ac:dyDescent="0.3">
      <c r="A253" s="7">
        <f t="shared" si="25"/>
        <v>248</v>
      </c>
      <c r="B253" s="8">
        <v>7404</v>
      </c>
      <c r="C253" s="9" t="str">
        <f t="shared" si="26"/>
        <v>3480x85185fe3A4e36079818Ba1d12705A9B6898997040xa60AdD2af71a4f50b3F94509E71a1e9DbDeA5dDa1273300unidade2030027</v>
      </c>
      <c r="D253" s="13" t="s">
        <v>315</v>
      </c>
      <c r="E253" s="8" t="s">
        <v>715</v>
      </c>
      <c r="F253" s="8">
        <f t="shared" si="27"/>
        <v>0</v>
      </c>
      <c r="G253" s="8">
        <f t="shared" si="27"/>
        <v>0</v>
      </c>
      <c r="H253" s="8">
        <f t="shared" si="27"/>
        <v>0</v>
      </c>
      <c r="I253" s="8">
        <f t="shared" si="27"/>
        <v>1</v>
      </c>
      <c r="J253" s="8">
        <f t="shared" si="28"/>
        <v>0</v>
      </c>
      <c r="K253" s="15">
        <v>1.5393518551718444E-3</v>
      </c>
      <c r="M253" s="8">
        <f t="shared" si="24"/>
        <v>348</v>
      </c>
      <c r="N253" s="9" t="s">
        <v>63</v>
      </c>
      <c r="O253" s="9" t="s">
        <v>16</v>
      </c>
      <c r="P253" s="9">
        <v>1273</v>
      </c>
      <c r="Q253" s="9">
        <v>300</v>
      </c>
      <c r="R253" s="8" t="s">
        <v>17</v>
      </c>
      <c r="S253" s="11">
        <v>203</v>
      </c>
      <c r="T253" s="10">
        <v>0.27</v>
      </c>
    </row>
    <row r="254" spans="1:20" x14ac:dyDescent="0.3">
      <c r="A254" s="7">
        <f t="shared" si="25"/>
        <v>249</v>
      </c>
      <c r="B254" s="8">
        <v>3844</v>
      </c>
      <c r="C254" s="9" t="str">
        <f t="shared" si="26"/>
        <v>3490x85185fe3A4e36079818Ba1d12705A9B6898997040xa60AdD2af71a4f50b3F94509E71a1e9DbDeA5dDa1453310unidade2430027</v>
      </c>
      <c r="D254" s="13" t="s">
        <v>316</v>
      </c>
      <c r="E254" s="8" t="s">
        <v>716</v>
      </c>
      <c r="F254" s="8">
        <f t="shared" si="27"/>
        <v>0</v>
      </c>
      <c r="G254" s="8">
        <f t="shared" si="27"/>
        <v>0</v>
      </c>
      <c r="H254" s="8">
        <f t="shared" si="27"/>
        <v>0</v>
      </c>
      <c r="I254" s="8">
        <f t="shared" si="27"/>
        <v>0</v>
      </c>
      <c r="J254" s="8">
        <f t="shared" si="28"/>
        <v>0</v>
      </c>
      <c r="K254" s="15">
        <v>7.9861110862111673E-4</v>
      </c>
      <c r="M254" s="8">
        <f t="shared" si="24"/>
        <v>349</v>
      </c>
      <c r="N254" s="9" t="s">
        <v>63</v>
      </c>
      <c r="O254" s="9" t="s">
        <v>16</v>
      </c>
      <c r="P254" s="9">
        <v>1453</v>
      </c>
      <c r="Q254" s="9">
        <v>310</v>
      </c>
      <c r="R254" s="8" t="s">
        <v>17</v>
      </c>
      <c r="S254" s="11">
        <v>243</v>
      </c>
      <c r="T254" s="10">
        <v>0.27</v>
      </c>
    </row>
    <row r="255" spans="1:20" x14ac:dyDescent="0.3">
      <c r="A255" s="7">
        <f t="shared" si="25"/>
        <v>250</v>
      </c>
      <c r="B255" s="8">
        <v>3584</v>
      </c>
      <c r="C255" s="9" t="str">
        <f t="shared" si="26"/>
        <v>3500x85185fe3A4e36079818Ba1d12705A9B6898997040xa60AdD2af71a4f50b3F94509E71a1e9DbDeA5dDa1423201unidade1300027</v>
      </c>
      <c r="D255" s="13" t="s">
        <v>317</v>
      </c>
      <c r="E255" s="8" t="s">
        <v>717</v>
      </c>
      <c r="F255" s="8">
        <f t="shared" si="27"/>
        <v>0</v>
      </c>
      <c r="G255" s="8">
        <f t="shared" si="27"/>
        <v>0</v>
      </c>
      <c r="H255" s="8">
        <f t="shared" si="27"/>
        <v>0</v>
      </c>
      <c r="I255" s="8">
        <f t="shared" si="27"/>
        <v>8</v>
      </c>
      <c r="J255" s="8">
        <f t="shared" si="28"/>
        <v>0</v>
      </c>
      <c r="K255" s="15">
        <v>7.6388888555811718E-4</v>
      </c>
      <c r="M255" s="8">
        <f t="shared" si="24"/>
        <v>350</v>
      </c>
      <c r="N255" s="9" t="s">
        <v>63</v>
      </c>
      <c r="O255" s="9" t="s">
        <v>16</v>
      </c>
      <c r="P255" s="9">
        <v>1423</v>
      </c>
      <c r="Q255" s="9">
        <v>201</v>
      </c>
      <c r="R255" s="8" t="s">
        <v>17</v>
      </c>
      <c r="S255" s="11">
        <v>130</v>
      </c>
      <c r="T255" s="10">
        <v>0.27</v>
      </c>
    </row>
    <row r="256" spans="1:20" x14ac:dyDescent="0.3">
      <c r="A256" s="7">
        <f t="shared" si="25"/>
        <v>251</v>
      </c>
      <c r="B256" s="8">
        <v>5470</v>
      </c>
      <c r="C256" s="9" t="str">
        <f t="shared" si="26"/>
        <v>3510x85185fe3A4e36079818Ba1d12705A9B6898997040xa60AdD2af71a4f50b3F94509E71a1e9DbDeA5dDa1220125unidade1190027</v>
      </c>
      <c r="D256" s="13" t="s">
        <v>318</v>
      </c>
      <c r="E256" s="8" t="s">
        <v>718</v>
      </c>
      <c r="F256" s="8">
        <f t="shared" si="27"/>
        <v>0</v>
      </c>
      <c r="G256" s="8">
        <f t="shared" si="27"/>
        <v>0</v>
      </c>
      <c r="H256" s="8">
        <f t="shared" si="27"/>
        <v>0</v>
      </c>
      <c r="I256" s="8">
        <f t="shared" si="27"/>
        <v>2</v>
      </c>
      <c r="J256" s="8">
        <f t="shared" si="28"/>
        <v>0</v>
      </c>
      <c r="K256" s="15">
        <v>1.1226851856918074E-3</v>
      </c>
      <c r="M256" s="8">
        <f t="shared" si="24"/>
        <v>351</v>
      </c>
      <c r="N256" s="9" t="s">
        <v>63</v>
      </c>
      <c r="O256" s="9" t="s">
        <v>16</v>
      </c>
      <c r="P256" s="9">
        <v>1220</v>
      </c>
      <c r="Q256" s="9">
        <v>125</v>
      </c>
      <c r="R256" s="8" t="s">
        <v>17</v>
      </c>
      <c r="S256" s="11">
        <v>119</v>
      </c>
      <c r="T256" s="10">
        <v>0.27</v>
      </c>
    </row>
    <row r="257" spans="1:20" x14ac:dyDescent="0.3">
      <c r="A257" s="7">
        <f t="shared" si="25"/>
        <v>252</v>
      </c>
      <c r="B257" s="8">
        <v>12225</v>
      </c>
      <c r="C257" s="9" t="str">
        <f t="shared" si="26"/>
        <v>3520x85185fe3A4e36079818Ba1d12705A9B6898997040xa60AdD2af71a4f50b3F94509E71a1e9DbDeA5dDa1089296unidade1280027</v>
      </c>
      <c r="D257" s="13" t="s">
        <v>319</v>
      </c>
      <c r="E257" s="8" t="s">
        <v>719</v>
      </c>
      <c r="F257" s="8">
        <f t="shared" si="27"/>
        <v>0</v>
      </c>
      <c r="G257" s="8">
        <f t="shared" si="27"/>
        <v>0</v>
      </c>
      <c r="H257" s="8">
        <f t="shared" si="27"/>
        <v>0</v>
      </c>
      <c r="I257" s="8">
        <f t="shared" si="27"/>
        <v>1</v>
      </c>
      <c r="J257" s="8">
        <f t="shared" si="28"/>
        <v>0</v>
      </c>
      <c r="K257" s="15">
        <v>2.5810185179580003E-3</v>
      </c>
      <c r="M257" s="8">
        <f t="shared" si="24"/>
        <v>352</v>
      </c>
      <c r="N257" s="9" t="s">
        <v>63</v>
      </c>
      <c r="O257" s="9" t="s">
        <v>16</v>
      </c>
      <c r="P257" s="9">
        <v>1089</v>
      </c>
      <c r="Q257" s="9">
        <v>296</v>
      </c>
      <c r="R257" s="8" t="s">
        <v>17</v>
      </c>
      <c r="S257" s="11">
        <v>128</v>
      </c>
      <c r="T257" s="10">
        <v>0.27</v>
      </c>
    </row>
    <row r="258" spans="1:20" x14ac:dyDescent="0.3">
      <c r="A258" s="7">
        <f t="shared" si="25"/>
        <v>253</v>
      </c>
      <c r="B258" s="8">
        <v>9016</v>
      </c>
      <c r="C258" s="9" t="str">
        <f t="shared" si="26"/>
        <v>3530x85185fe3A4e36079818Ba1d12705A9B6898997040xa60AdD2af71a4f50b3F94509E71a1e9DbDeA5dDa1103165unidade690027</v>
      </c>
      <c r="D258" s="13" t="s">
        <v>320</v>
      </c>
      <c r="E258" s="8" t="s">
        <v>720</v>
      </c>
      <c r="F258" s="8">
        <f t="shared" si="27"/>
        <v>0</v>
      </c>
      <c r="G258" s="8">
        <f t="shared" si="27"/>
        <v>0</v>
      </c>
      <c r="H258" s="8">
        <f t="shared" si="27"/>
        <v>0</v>
      </c>
      <c r="I258" s="8">
        <f t="shared" si="27"/>
        <v>1</v>
      </c>
      <c r="J258" s="8">
        <f t="shared" si="28"/>
        <v>0</v>
      </c>
      <c r="K258" s="15">
        <v>1.8750000017462298E-3</v>
      </c>
      <c r="M258" s="8">
        <f t="shared" si="24"/>
        <v>353</v>
      </c>
      <c r="N258" s="9" t="s">
        <v>63</v>
      </c>
      <c r="O258" s="9" t="s">
        <v>16</v>
      </c>
      <c r="P258" s="9">
        <v>1103</v>
      </c>
      <c r="Q258" s="9">
        <v>165</v>
      </c>
      <c r="R258" s="8" t="s">
        <v>17</v>
      </c>
      <c r="S258" s="11">
        <v>69</v>
      </c>
      <c r="T258" s="10">
        <v>0.27</v>
      </c>
    </row>
    <row r="259" spans="1:20" x14ac:dyDescent="0.3">
      <c r="A259" s="7">
        <f t="shared" si="25"/>
        <v>254</v>
      </c>
      <c r="B259" s="8">
        <v>890</v>
      </c>
      <c r="C259" s="9" t="str">
        <f t="shared" si="26"/>
        <v>3540x85185fe3A4e36079818Ba1d12705A9B6898997040xa60AdD2af71a4f50b3F94509E71a1e9DbDeA5dDa1177159unidade2120027</v>
      </c>
      <c r="D259" s="13" t="s">
        <v>321</v>
      </c>
      <c r="E259" s="8" t="s">
        <v>721</v>
      </c>
      <c r="F259" s="8">
        <f t="shared" si="27"/>
        <v>0</v>
      </c>
      <c r="G259" s="8">
        <f t="shared" si="27"/>
        <v>0</v>
      </c>
      <c r="H259" s="8">
        <f t="shared" si="27"/>
        <v>0</v>
      </c>
      <c r="I259" s="8">
        <f t="shared" si="27"/>
        <v>2</v>
      </c>
      <c r="J259" s="8">
        <f t="shared" si="28"/>
        <v>0</v>
      </c>
      <c r="K259" s="15">
        <v>1.8518518481869251E-4</v>
      </c>
      <c r="M259" s="8">
        <f t="shared" si="24"/>
        <v>354</v>
      </c>
      <c r="N259" s="9" t="s">
        <v>63</v>
      </c>
      <c r="O259" s="9" t="s">
        <v>16</v>
      </c>
      <c r="P259" s="9">
        <v>1177</v>
      </c>
      <c r="Q259" s="9">
        <v>159</v>
      </c>
      <c r="R259" s="8" t="s">
        <v>17</v>
      </c>
      <c r="S259" s="11">
        <v>212</v>
      </c>
      <c r="T259" s="10">
        <v>0.27</v>
      </c>
    </row>
    <row r="260" spans="1:20" x14ac:dyDescent="0.3">
      <c r="A260" s="7">
        <f t="shared" si="25"/>
        <v>255</v>
      </c>
      <c r="B260" s="8">
        <v>15066</v>
      </c>
      <c r="C260" s="9" t="str">
        <f t="shared" si="26"/>
        <v>3550x85185fe3A4e36079818Ba1d12705A9B6898997040xa60AdD2af71a4f50b3F94509E71a1e9DbDeA5dDa1361198unidade2420027</v>
      </c>
      <c r="D260" s="13" t="s">
        <v>322</v>
      </c>
      <c r="E260" s="8" t="s">
        <v>722</v>
      </c>
      <c r="F260" s="8">
        <f t="shared" si="27"/>
        <v>0</v>
      </c>
      <c r="G260" s="8">
        <f t="shared" si="27"/>
        <v>0</v>
      </c>
      <c r="H260" s="8">
        <f t="shared" si="27"/>
        <v>0</v>
      </c>
      <c r="I260" s="8">
        <f t="shared" si="27"/>
        <v>1</v>
      </c>
      <c r="J260" s="8">
        <f t="shared" si="28"/>
        <v>0</v>
      </c>
      <c r="K260" s="15">
        <v>3.1018518493510783E-3</v>
      </c>
      <c r="M260" s="8">
        <f t="shared" si="24"/>
        <v>355</v>
      </c>
      <c r="N260" s="9" t="s">
        <v>63</v>
      </c>
      <c r="O260" s="9" t="s">
        <v>16</v>
      </c>
      <c r="P260" s="9">
        <v>1361</v>
      </c>
      <c r="Q260" s="9">
        <v>198</v>
      </c>
      <c r="R260" s="8" t="s">
        <v>17</v>
      </c>
      <c r="S260" s="11">
        <v>242</v>
      </c>
      <c r="T260" s="10">
        <v>0.27</v>
      </c>
    </row>
    <row r="261" spans="1:20" x14ac:dyDescent="0.3">
      <c r="A261" s="7">
        <f t="shared" si="25"/>
        <v>256</v>
      </c>
      <c r="B261" s="8">
        <v>5959</v>
      </c>
      <c r="C261" s="9" t="str">
        <f t="shared" si="26"/>
        <v>3560x85185fe3A4e36079818Ba1d12705A9B6898997040xa60AdD2af71a4f50b3F94509E71a1e9DbDeA5dDa1554337unidade2270027</v>
      </c>
      <c r="D261" s="13" t="s">
        <v>323</v>
      </c>
      <c r="E261" s="8" t="s">
        <v>723</v>
      </c>
      <c r="F261" s="8">
        <f t="shared" si="27"/>
        <v>0</v>
      </c>
      <c r="G261" s="8">
        <f t="shared" si="27"/>
        <v>0</v>
      </c>
      <c r="H261" s="8">
        <f t="shared" si="27"/>
        <v>0</v>
      </c>
      <c r="I261" s="8">
        <f t="shared" si="27"/>
        <v>1</v>
      </c>
      <c r="J261" s="8">
        <f t="shared" si="28"/>
        <v>0</v>
      </c>
      <c r="K261" s="15">
        <v>1.2500000011641532E-3</v>
      </c>
      <c r="M261" s="8">
        <f t="shared" si="24"/>
        <v>356</v>
      </c>
      <c r="N261" s="9" t="s">
        <v>63</v>
      </c>
      <c r="O261" s="9" t="s">
        <v>16</v>
      </c>
      <c r="P261" s="9">
        <v>1554</v>
      </c>
      <c r="Q261" s="9">
        <v>337</v>
      </c>
      <c r="R261" s="8" t="s">
        <v>17</v>
      </c>
      <c r="S261" s="11">
        <v>227</v>
      </c>
      <c r="T261" s="10">
        <v>0.27</v>
      </c>
    </row>
    <row r="262" spans="1:20" x14ac:dyDescent="0.3">
      <c r="A262" s="7">
        <f t="shared" si="25"/>
        <v>257</v>
      </c>
      <c r="B262" s="8">
        <v>5385</v>
      </c>
      <c r="C262" s="9" t="str">
        <f t="shared" si="26"/>
        <v>3570x85185fe3A4e36079818Ba1d12705A9B6898997040xa60AdD2af71a4f50b3F94509E71a1e9DbDeA5dDa1552294unidade540027</v>
      </c>
      <c r="D262" s="13" t="s">
        <v>324</v>
      </c>
      <c r="E262" s="8" t="s">
        <v>724</v>
      </c>
      <c r="F262" s="8">
        <f t="shared" si="27"/>
        <v>0</v>
      </c>
      <c r="G262" s="8">
        <f t="shared" si="27"/>
        <v>0</v>
      </c>
      <c r="H262" s="8">
        <f t="shared" si="27"/>
        <v>0</v>
      </c>
      <c r="I262" s="8">
        <f t="shared" si="27"/>
        <v>8</v>
      </c>
      <c r="J262" s="8">
        <f t="shared" si="28"/>
        <v>0</v>
      </c>
      <c r="K262" s="15">
        <v>1.1458333392511122E-3</v>
      </c>
      <c r="M262" s="8">
        <f t="shared" ref="M262:M325" si="29">1+M261</f>
        <v>357</v>
      </c>
      <c r="N262" s="9" t="s">
        <v>63</v>
      </c>
      <c r="O262" s="9" t="s">
        <v>16</v>
      </c>
      <c r="P262" s="9">
        <v>1552</v>
      </c>
      <c r="Q262" s="9">
        <v>294</v>
      </c>
      <c r="R262" s="8" t="s">
        <v>17</v>
      </c>
      <c r="S262" s="11">
        <v>54</v>
      </c>
      <c r="T262" s="10">
        <v>0.27</v>
      </c>
    </row>
    <row r="263" spans="1:20" x14ac:dyDescent="0.3">
      <c r="A263" s="7">
        <f t="shared" ref="A263:A326" si="30">1+A262</f>
        <v>258</v>
      </c>
      <c r="B263" s="8">
        <v>4757</v>
      </c>
      <c r="C263" s="9" t="str">
        <f t="shared" si="26"/>
        <v>3580x85185fe3A4e36079818Ba1d12705A9B6898997040xa60AdD2af71a4f50b3F94509E71a1e9DbDeA5dDa1264299unidade2130027</v>
      </c>
      <c r="D263" s="13" t="s">
        <v>325</v>
      </c>
      <c r="E263" s="8" t="s">
        <v>725</v>
      </c>
      <c r="F263" s="8">
        <f t="shared" si="27"/>
        <v>0</v>
      </c>
      <c r="G263" s="8">
        <f t="shared" si="27"/>
        <v>0</v>
      </c>
      <c r="H263" s="8">
        <f t="shared" si="27"/>
        <v>0</v>
      </c>
      <c r="I263" s="8">
        <f t="shared" si="27"/>
        <v>1</v>
      </c>
      <c r="J263" s="8">
        <f t="shared" si="28"/>
        <v>0</v>
      </c>
      <c r="K263" s="15">
        <v>1.0185185165028088E-3</v>
      </c>
      <c r="M263" s="8">
        <f t="shared" si="29"/>
        <v>358</v>
      </c>
      <c r="N263" s="9" t="s">
        <v>63</v>
      </c>
      <c r="O263" s="9" t="s">
        <v>16</v>
      </c>
      <c r="P263" s="9">
        <v>1264</v>
      </c>
      <c r="Q263" s="9">
        <v>299</v>
      </c>
      <c r="R263" s="8" t="s">
        <v>17</v>
      </c>
      <c r="S263" s="11">
        <v>213</v>
      </c>
      <c r="T263" s="10">
        <v>0.27</v>
      </c>
    </row>
    <row r="264" spans="1:20" x14ac:dyDescent="0.3">
      <c r="A264" s="7">
        <f t="shared" si="30"/>
        <v>259</v>
      </c>
      <c r="B264" s="8">
        <v>1534</v>
      </c>
      <c r="C264" s="9" t="str">
        <f t="shared" si="26"/>
        <v>3590x85185fe3A4e36079818Ba1d12705A9B6898997040xa60AdD2af71a4f50b3F94509E71a1e9DbDeA5dDa1183220unidade2110027</v>
      </c>
      <c r="D264" s="13" t="s">
        <v>326</v>
      </c>
      <c r="E264" s="8" t="s">
        <v>726</v>
      </c>
      <c r="F264" s="8">
        <f t="shared" si="27"/>
        <v>0</v>
      </c>
      <c r="G264" s="8">
        <f t="shared" si="27"/>
        <v>0</v>
      </c>
      <c r="H264" s="8">
        <f t="shared" si="27"/>
        <v>0</v>
      </c>
      <c r="I264" s="8">
        <f t="shared" si="27"/>
        <v>7</v>
      </c>
      <c r="J264" s="8">
        <f t="shared" si="28"/>
        <v>0</v>
      </c>
      <c r="K264" s="15">
        <v>3.125000002910383E-4</v>
      </c>
      <c r="M264" s="8">
        <f t="shared" si="29"/>
        <v>359</v>
      </c>
      <c r="N264" s="9" t="s">
        <v>63</v>
      </c>
      <c r="O264" s="9" t="s">
        <v>16</v>
      </c>
      <c r="P264" s="9">
        <v>1183</v>
      </c>
      <c r="Q264" s="9">
        <v>220</v>
      </c>
      <c r="R264" s="8" t="s">
        <v>17</v>
      </c>
      <c r="S264" s="11">
        <v>211</v>
      </c>
      <c r="T264" s="10">
        <v>0.27</v>
      </c>
    </row>
    <row r="265" spans="1:20" x14ac:dyDescent="0.3">
      <c r="A265" s="7">
        <f t="shared" si="30"/>
        <v>260</v>
      </c>
      <c r="B265" s="8">
        <v>14039</v>
      </c>
      <c r="C265" s="9" t="str">
        <f t="shared" si="26"/>
        <v>3600x85185fe3A4e36079818Ba1d12705A9B6898997040xa60AdD2af71a4f50b3F94509E71a1e9DbDeA5dDa1337225unidade1290027</v>
      </c>
      <c r="D265" s="13" t="s">
        <v>327</v>
      </c>
      <c r="E265" s="8" t="s">
        <v>727</v>
      </c>
      <c r="F265" s="8">
        <f t="shared" si="27"/>
        <v>0</v>
      </c>
      <c r="G265" s="8">
        <f t="shared" si="27"/>
        <v>0</v>
      </c>
      <c r="H265" s="8">
        <f t="shared" si="27"/>
        <v>0</v>
      </c>
      <c r="I265" s="8">
        <f t="shared" si="27"/>
        <v>1</v>
      </c>
      <c r="J265" s="8">
        <f t="shared" si="28"/>
        <v>0</v>
      </c>
      <c r="K265" s="15">
        <v>2.9282407413120382E-3</v>
      </c>
      <c r="M265" s="8">
        <f t="shared" si="29"/>
        <v>360</v>
      </c>
      <c r="N265" s="9" t="s">
        <v>63</v>
      </c>
      <c r="O265" s="9" t="s">
        <v>16</v>
      </c>
      <c r="P265" s="9">
        <v>1337</v>
      </c>
      <c r="Q265" s="9">
        <v>225</v>
      </c>
      <c r="R265" s="8" t="s">
        <v>17</v>
      </c>
      <c r="S265" s="11">
        <v>129</v>
      </c>
      <c r="T265" s="10">
        <v>0.27</v>
      </c>
    </row>
    <row r="266" spans="1:20" x14ac:dyDescent="0.3">
      <c r="A266" s="7">
        <f t="shared" si="30"/>
        <v>261</v>
      </c>
      <c r="B266" s="8">
        <v>3619</v>
      </c>
      <c r="C266" s="9" t="str">
        <f t="shared" si="26"/>
        <v>3610x85185fe3A4e36079818Ba1d12705A9B6898997040xa60AdD2af71a4f50b3F94509E71a1e9DbDeA5dDa1339126unidade1940027</v>
      </c>
      <c r="D266" s="13" t="s">
        <v>328</v>
      </c>
      <c r="E266" s="8" t="s">
        <v>728</v>
      </c>
      <c r="F266" s="8">
        <f t="shared" si="27"/>
        <v>0</v>
      </c>
      <c r="G266" s="8">
        <f t="shared" si="27"/>
        <v>0</v>
      </c>
      <c r="H266" s="8">
        <f t="shared" si="27"/>
        <v>0</v>
      </c>
      <c r="I266" s="8">
        <f t="shared" si="27"/>
        <v>1</v>
      </c>
      <c r="J266" s="8">
        <f t="shared" si="28"/>
        <v>0</v>
      </c>
      <c r="K266" s="15">
        <v>7.5231481605442241E-4</v>
      </c>
      <c r="M266" s="8">
        <f t="shared" si="29"/>
        <v>361</v>
      </c>
      <c r="N266" s="9" t="s">
        <v>63</v>
      </c>
      <c r="O266" s="9" t="s">
        <v>16</v>
      </c>
      <c r="P266" s="9">
        <v>1339</v>
      </c>
      <c r="Q266" s="9">
        <v>126</v>
      </c>
      <c r="R266" s="8" t="s">
        <v>17</v>
      </c>
      <c r="S266" s="11">
        <v>194</v>
      </c>
      <c r="T266" s="10">
        <v>0.27</v>
      </c>
    </row>
    <row r="267" spans="1:20" x14ac:dyDescent="0.3">
      <c r="A267" s="7">
        <f t="shared" si="30"/>
        <v>262</v>
      </c>
      <c r="B267" s="8">
        <v>1195</v>
      </c>
      <c r="C267" s="9" t="str">
        <f t="shared" si="26"/>
        <v>3620x85185fe3A4e36079818Ba1d12705A9B6898997040xa60AdD2af71a4f50b3F94509E71a1e9DbDeA5dDa1205158unidade2450027</v>
      </c>
      <c r="D267" s="13" t="s">
        <v>329</v>
      </c>
      <c r="E267" s="8" t="s">
        <v>729</v>
      </c>
      <c r="F267" s="8">
        <f t="shared" si="27"/>
        <v>0</v>
      </c>
      <c r="G267" s="8">
        <f t="shared" si="27"/>
        <v>0</v>
      </c>
      <c r="H267" s="8">
        <f t="shared" si="27"/>
        <v>0</v>
      </c>
      <c r="I267" s="8">
        <f t="shared" si="27"/>
        <v>4</v>
      </c>
      <c r="J267" s="8">
        <f t="shared" si="28"/>
        <v>0</v>
      </c>
      <c r="K267" s="15">
        <v>2.546296309446916E-4</v>
      </c>
      <c r="M267" s="8">
        <f t="shared" si="29"/>
        <v>362</v>
      </c>
      <c r="N267" s="9" t="s">
        <v>63</v>
      </c>
      <c r="O267" s="9" t="s">
        <v>16</v>
      </c>
      <c r="P267" s="9">
        <v>1205</v>
      </c>
      <c r="Q267" s="9">
        <v>158</v>
      </c>
      <c r="R267" s="8" t="s">
        <v>17</v>
      </c>
      <c r="S267" s="11">
        <v>245</v>
      </c>
      <c r="T267" s="10">
        <v>0.27</v>
      </c>
    </row>
    <row r="268" spans="1:20" x14ac:dyDescent="0.3">
      <c r="A268" s="7">
        <f t="shared" si="30"/>
        <v>263</v>
      </c>
      <c r="B268" s="8">
        <v>1898</v>
      </c>
      <c r="C268" s="9" t="str">
        <f t="shared" si="26"/>
        <v>3630x85185fe3A4e36079818Ba1d12705A9B6898997040xa60AdD2af71a4f50b3F94509E71a1e9DbDeA5dDa1028236unidade2000027</v>
      </c>
      <c r="D268" s="13" t="s">
        <v>330</v>
      </c>
      <c r="E268" s="8" t="s">
        <v>730</v>
      </c>
      <c r="F268" s="8">
        <f t="shared" si="27"/>
        <v>0</v>
      </c>
      <c r="G268" s="8">
        <f t="shared" si="27"/>
        <v>0</v>
      </c>
      <c r="H268" s="8">
        <f t="shared" si="27"/>
        <v>0</v>
      </c>
      <c r="I268" s="8">
        <f t="shared" si="27"/>
        <v>6</v>
      </c>
      <c r="J268" s="8">
        <f t="shared" si="28"/>
        <v>0</v>
      </c>
      <c r="K268" s="15">
        <v>3.9351851592073217E-4</v>
      </c>
      <c r="M268" s="8">
        <f t="shared" si="29"/>
        <v>363</v>
      </c>
      <c r="N268" s="9" t="s">
        <v>63</v>
      </c>
      <c r="O268" s="9" t="s">
        <v>16</v>
      </c>
      <c r="P268" s="9">
        <v>1028</v>
      </c>
      <c r="Q268" s="9">
        <v>236</v>
      </c>
      <c r="R268" s="8" t="s">
        <v>17</v>
      </c>
      <c r="S268" s="11">
        <v>200</v>
      </c>
      <c r="T268" s="10">
        <v>0.27</v>
      </c>
    </row>
    <row r="269" spans="1:20" x14ac:dyDescent="0.3">
      <c r="A269" s="7">
        <f t="shared" si="30"/>
        <v>264</v>
      </c>
      <c r="B269" s="8">
        <v>4733</v>
      </c>
      <c r="C269" s="9" t="str">
        <f t="shared" si="26"/>
        <v>3640x85185fe3A4e36079818Ba1d12705A9B6898997040xa60AdD2af71a4f50b3F94509E71a1e9DbDeA5dDa1404205unidade1700027</v>
      </c>
      <c r="D269" s="13" t="s">
        <v>331</v>
      </c>
      <c r="E269" s="8" t="s">
        <v>731</v>
      </c>
      <c r="F269" s="8">
        <f t="shared" si="27"/>
        <v>0</v>
      </c>
      <c r="G269" s="8">
        <f t="shared" si="27"/>
        <v>0</v>
      </c>
      <c r="H269" s="8">
        <f t="shared" si="27"/>
        <v>0</v>
      </c>
      <c r="I269" s="8">
        <f t="shared" si="27"/>
        <v>1</v>
      </c>
      <c r="J269" s="8">
        <f t="shared" si="28"/>
        <v>0</v>
      </c>
      <c r="K269" s="15">
        <v>9.8379630071576685E-4</v>
      </c>
      <c r="M269" s="8">
        <f t="shared" si="29"/>
        <v>364</v>
      </c>
      <c r="N269" s="9" t="s">
        <v>63</v>
      </c>
      <c r="O269" s="9" t="s">
        <v>16</v>
      </c>
      <c r="P269" s="9">
        <v>1404</v>
      </c>
      <c r="Q269" s="9">
        <v>205</v>
      </c>
      <c r="R269" s="8" t="s">
        <v>17</v>
      </c>
      <c r="S269" s="11">
        <v>170</v>
      </c>
      <c r="T269" s="10">
        <v>0.27</v>
      </c>
    </row>
    <row r="270" spans="1:20" x14ac:dyDescent="0.3">
      <c r="A270" s="7">
        <f t="shared" si="30"/>
        <v>265</v>
      </c>
      <c r="B270" s="8">
        <v>4898</v>
      </c>
      <c r="C270" s="9" t="str">
        <f t="shared" si="26"/>
        <v>3650x85185fe3A4e36079818Ba1d12705A9B6898997040xa60AdD2af71a4f50b3F94509E71a1e9DbDeA5dDa1333118unidade1040027</v>
      </c>
      <c r="D270" s="13" t="s">
        <v>332</v>
      </c>
      <c r="E270" s="8" t="s">
        <v>732</v>
      </c>
      <c r="F270" s="8">
        <f t="shared" si="27"/>
        <v>0</v>
      </c>
      <c r="G270" s="8">
        <f t="shared" si="27"/>
        <v>0</v>
      </c>
      <c r="H270" s="8">
        <f t="shared" si="27"/>
        <v>0</v>
      </c>
      <c r="I270" s="8">
        <f t="shared" si="27"/>
        <v>1</v>
      </c>
      <c r="J270" s="8">
        <f t="shared" si="28"/>
        <v>0</v>
      </c>
      <c r="K270" s="15">
        <v>1.0185185165028088E-3</v>
      </c>
      <c r="M270" s="8">
        <f t="shared" si="29"/>
        <v>365</v>
      </c>
      <c r="N270" s="9" t="s">
        <v>63</v>
      </c>
      <c r="O270" s="9" t="s">
        <v>16</v>
      </c>
      <c r="P270" s="9">
        <v>1333</v>
      </c>
      <c r="Q270" s="9">
        <v>118</v>
      </c>
      <c r="R270" s="8" t="s">
        <v>17</v>
      </c>
      <c r="S270" s="11">
        <v>104</v>
      </c>
      <c r="T270" s="10">
        <v>0.27</v>
      </c>
    </row>
    <row r="271" spans="1:20" x14ac:dyDescent="0.3">
      <c r="A271" s="7">
        <f t="shared" si="30"/>
        <v>266</v>
      </c>
      <c r="B271" s="8">
        <v>598</v>
      </c>
      <c r="C271" s="9" t="str">
        <f t="shared" si="26"/>
        <v>3660x85185fe3A4e36079818Ba1d12705A9B6898997040xa60AdD2af71a4f50b3F94509E71a1e9DbDeA5dDa1302211unidade1660027</v>
      </c>
      <c r="D271" s="13" t="s">
        <v>333</v>
      </c>
      <c r="E271" s="8" t="s">
        <v>733</v>
      </c>
      <c r="F271" s="8">
        <f t="shared" si="27"/>
        <v>0</v>
      </c>
      <c r="G271" s="8">
        <f t="shared" si="27"/>
        <v>0</v>
      </c>
      <c r="H271" s="8">
        <f t="shared" si="27"/>
        <v>0</v>
      </c>
      <c r="I271" s="8">
        <f t="shared" si="27"/>
        <v>8</v>
      </c>
      <c r="J271" s="8">
        <f t="shared" si="28"/>
        <v>0</v>
      </c>
      <c r="K271" s="15">
        <v>1.1574073869269341E-4</v>
      </c>
      <c r="M271" s="8">
        <f t="shared" si="29"/>
        <v>366</v>
      </c>
      <c r="N271" s="9" t="s">
        <v>63</v>
      </c>
      <c r="O271" s="9" t="s">
        <v>16</v>
      </c>
      <c r="P271" s="9">
        <v>1302</v>
      </c>
      <c r="Q271" s="9">
        <v>211</v>
      </c>
      <c r="R271" s="8" t="s">
        <v>17</v>
      </c>
      <c r="S271" s="11">
        <v>166</v>
      </c>
      <c r="T271" s="10">
        <v>0.27</v>
      </c>
    </row>
    <row r="272" spans="1:20" x14ac:dyDescent="0.3">
      <c r="A272" s="7">
        <f t="shared" si="30"/>
        <v>267</v>
      </c>
      <c r="B272" s="8">
        <v>4563</v>
      </c>
      <c r="C272" s="9" t="str">
        <f t="shared" si="26"/>
        <v>3670x85185fe3A4e36079818Ba1d12705A9B6898997040xa60AdD2af71a4f50b3F94509E71a1e9DbDeA5dDa1169295unidade2060027</v>
      </c>
      <c r="D272" s="13" t="s">
        <v>334</v>
      </c>
      <c r="E272" s="8" t="s">
        <v>734</v>
      </c>
      <c r="F272" s="8">
        <f t="shared" si="27"/>
        <v>0</v>
      </c>
      <c r="G272" s="8">
        <f t="shared" si="27"/>
        <v>0</v>
      </c>
      <c r="H272" s="8">
        <f t="shared" si="27"/>
        <v>0</v>
      </c>
      <c r="I272" s="8">
        <f t="shared" si="27"/>
        <v>1</v>
      </c>
      <c r="J272" s="8">
        <f t="shared" si="28"/>
        <v>0</v>
      </c>
      <c r="K272" s="15">
        <v>9.490740776527673E-4</v>
      </c>
      <c r="M272" s="8">
        <f t="shared" si="29"/>
        <v>367</v>
      </c>
      <c r="N272" s="9" t="s">
        <v>63</v>
      </c>
      <c r="O272" s="9" t="s">
        <v>16</v>
      </c>
      <c r="P272" s="9">
        <v>1169</v>
      </c>
      <c r="Q272" s="9">
        <v>295</v>
      </c>
      <c r="R272" s="8" t="s">
        <v>17</v>
      </c>
      <c r="S272" s="11">
        <v>206</v>
      </c>
      <c r="T272" s="10">
        <v>0.27</v>
      </c>
    </row>
    <row r="273" spans="1:20" x14ac:dyDescent="0.3">
      <c r="A273" s="7">
        <f t="shared" si="30"/>
        <v>268</v>
      </c>
      <c r="B273" s="8">
        <v>4774</v>
      </c>
      <c r="C273" s="9" t="str">
        <f t="shared" si="26"/>
        <v>3680x85185fe3A4e36079818Ba1d12705A9B6898997040xa60AdD2af71a4f50b3F94509E71a1e9DbDeA5dDa1716164unidade1220027</v>
      </c>
      <c r="D273" s="13" t="s">
        <v>335</v>
      </c>
      <c r="E273" s="8" t="s">
        <v>735</v>
      </c>
      <c r="F273" s="8">
        <f t="shared" si="27"/>
        <v>0</v>
      </c>
      <c r="G273" s="8">
        <f t="shared" si="27"/>
        <v>0</v>
      </c>
      <c r="H273" s="8">
        <f t="shared" si="27"/>
        <v>0</v>
      </c>
      <c r="I273" s="8">
        <f t="shared" si="27"/>
        <v>8</v>
      </c>
      <c r="J273" s="8">
        <f t="shared" si="28"/>
        <v>0</v>
      </c>
      <c r="K273" s="15">
        <v>9.7222222393611446E-4</v>
      </c>
      <c r="M273" s="8">
        <f t="shared" si="29"/>
        <v>368</v>
      </c>
      <c r="N273" s="9" t="s">
        <v>63</v>
      </c>
      <c r="O273" s="9" t="s">
        <v>16</v>
      </c>
      <c r="P273" s="9">
        <v>1716</v>
      </c>
      <c r="Q273" s="9">
        <v>164</v>
      </c>
      <c r="R273" s="8" t="s">
        <v>17</v>
      </c>
      <c r="S273" s="11">
        <v>122</v>
      </c>
      <c r="T273" s="10">
        <v>0.27</v>
      </c>
    </row>
    <row r="274" spans="1:20" x14ac:dyDescent="0.3">
      <c r="A274" s="7">
        <f t="shared" si="30"/>
        <v>269</v>
      </c>
      <c r="B274" s="8">
        <v>2753</v>
      </c>
      <c r="C274" s="9" t="str">
        <f t="shared" si="26"/>
        <v>3690x85185fe3A4e36079818Ba1d12705A9B6898997040xa60AdD2af71a4f50b3F94509E71a1e9DbDeA5dDa1411126unidade870027</v>
      </c>
      <c r="D274" s="13" t="s">
        <v>336</v>
      </c>
      <c r="E274" s="8" t="s">
        <v>736</v>
      </c>
      <c r="F274" s="8">
        <f t="shared" si="27"/>
        <v>0</v>
      </c>
      <c r="G274" s="8">
        <f t="shared" si="27"/>
        <v>0</v>
      </c>
      <c r="H274" s="8">
        <f t="shared" si="27"/>
        <v>0</v>
      </c>
      <c r="I274" s="8">
        <f t="shared" si="27"/>
        <v>7</v>
      </c>
      <c r="J274" s="8">
        <f t="shared" si="28"/>
        <v>0</v>
      </c>
      <c r="K274" s="15">
        <v>5.6712962395977229E-4</v>
      </c>
      <c r="M274" s="8">
        <f t="shared" si="29"/>
        <v>369</v>
      </c>
      <c r="N274" s="9" t="s">
        <v>63</v>
      </c>
      <c r="O274" s="9" t="s">
        <v>16</v>
      </c>
      <c r="P274" s="9">
        <v>1411</v>
      </c>
      <c r="Q274" s="9">
        <v>126</v>
      </c>
      <c r="R274" s="8" t="s">
        <v>17</v>
      </c>
      <c r="S274" s="11">
        <v>87</v>
      </c>
      <c r="T274" s="10">
        <v>0.27</v>
      </c>
    </row>
    <row r="275" spans="1:20" x14ac:dyDescent="0.3">
      <c r="A275" s="7">
        <f t="shared" si="30"/>
        <v>270</v>
      </c>
      <c r="B275" s="8">
        <v>2281</v>
      </c>
      <c r="C275" s="9" t="str">
        <f t="shared" si="26"/>
        <v>3700x85185fe3A4e36079818Ba1d12705A9B6898997040xa60AdD2af71a4f50b3F94509E71a1e9DbDeA5dDa1825425unidade2180027</v>
      </c>
      <c r="D275" s="13" t="s">
        <v>337</v>
      </c>
      <c r="E275" s="8" t="s">
        <v>737</v>
      </c>
      <c r="F275" s="8">
        <f t="shared" si="27"/>
        <v>0</v>
      </c>
      <c r="G275" s="8">
        <f t="shared" si="27"/>
        <v>0</v>
      </c>
      <c r="H275" s="8">
        <f t="shared" si="27"/>
        <v>0</v>
      </c>
      <c r="I275" s="8">
        <f t="shared" si="27"/>
        <v>0</v>
      </c>
      <c r="J275" s="8">
        <f t="shared" si="28"/>
        <v>0</v>
      </c>
      <c r="K275" s="15">
        <v>4.7453703882638365E-4</v>
      </c>
      <c r="M275" s="8">
        <f t="shared" si="29"/>
        <v>370</v>
      </c>
      <c r="N275" s="9" t="s">
        <v>63</v>
      </c>
      <c r="O275" s="9" t="s">
        <v>16</v>
      </c>
      <c r="P275" s="9">
        <v>1825</v>
      </c>
      <c r="Q275" s="9">
        <v>425</v>
      </c>
      <c r="R275" s="8" t="s">
        <v>17</v>
      </c>
      <c r="S275" s="11">
        <v>218</v>
      </c>
      <c r="T275" s="10">
        <v>0.27</v>
      </c>
    </row>
    <row r="276" spans="1:20" x14ac:dyDescent="0.3">
      <c r="A276" s="7">
        <f t="shared" si="30"/>
        <v>271</v>
      </c>
      <c r="B276" s="8">
        <v>9606</v>
      </c>
      <c r="C276" s="9" t="str">
        <f t="shared" si="26"/>
        <v>3710x85185fe3A4e36079818Ba1d12705A9B6898997040xa60AdD2af71a4f50b3F94509E71a1e9DbDeA5dDa1643325unidade2400027</v>
      </c>
      <c r="D276" s="13" t="s">
        <v>338</v>
      </c>
      <c r="E276" s="8" t="s">
        <v>738</v>
      </c>
      <c r="F276" s="8">
        <f t="shared" si="27"/>
        <v>0</v>
      </c>
      <c r="G276" s="8">
        <f t="shared" si="27"/>
        <v>0</v>
      </c>
      <c r="H276" s="8">
        <f t="shared" si="27"/>
        <v>0</v>
      </c>
      <c r="I276" s="8">
        <f t="shared" si="27"/>
        <v>5</v>
      </c>
      <c r="J276" s="8">
        <f t="shared" si="28"/>
        <v>0</v>
      </c>
      <c r="K276" s="15">
        <v>2.0370370402815752E-3</v>
      </c>
      <c r="M276" s="8">
        <f t="shared" si="29"/>
        <v>371</v>
      </c>
      <c r="N276" s="9" t="s">
        <v>63</v>
      </c>
      <c r="O276" s="9" t="s">
        <v>16</v>
      </c>
      <c r="P276" s="9">
        <v>1643</v>
      </c>
      <c r="Q276" s="9">
        <v>325</v>
      </c>
      <c r="R276" s="8" t="s">
        <v>17</v>
      </c>
      <c r="S276" s="11">
        <v>240</v>
      </c>
      <c r="T276" s="10">
        <v>0.27</v>
      </c>
    </row>
    <row r="277" spans="1:20" x14ac:dyDescent="0.3">
      <c r="A277" s="7">
        <f t="shared" si="30"/>
        <v>272</v>
      </c>
      <c r="B277" s="8">
        <v>7249</v>
      </c>
      <c r="C277" s="9" t="str">
        <f t="shared" si="26"/>
        <v>3720x85185fe3A4e36079818Ba1d12705A9B6898997040xa60AdD2af71a4f50b3F94509E71a1e9DbDeA5dDa1955260unidade1370027</v>
      </c>
      <c r="D277" s="13" t="s">
        <v>339</v>
      </c>
      <c r="E277" s="8" t="s">
        <v>739</v>
      </c>
      <c r="F277" s="8">
        <f t="shared" si="27"/>
        <v>0</v>
      </c>
      <c r="G277" s="8">
        <f t="shared" si="27"/>
        <v>0</v>
      </c>
      <c r="H277" s="8">
        <f t="shared" si="27"/>
        <v>0</v>
      </c>
      <c r="I277" s="8">
        <f t="shared" si="27"/>
        <v>9</v>
      </c>
      <c r="J277" s="8">
        <f t="shared" si="28"/>
        <v>0</v>
      </c>
      <c r="K277" s="15">
        <v>1.5046296248328872E-3</v>
      </c>
      <c r="M277" s="8">
        <f t="shared" si="29"/>
        <v>372</v>
      </c>
      <c r="N277" s="9" t="s">
        <v>63</v>
      </c>
      <c r="O277" s="9" t="s">
        <v>16</v>
      </c>
      <c r="P277" s="9">
        <v>1955</v>
      </c>
      <c r="Q277" s="9">
        <v>260</v>
      </c>
      <c r="R277" s="8" t="s">
        <v>17</v>
      </c>
      <c r="S277" s="11">
        <v>137</v>
      </c>
      <c r="T277" s="10">
        <v>0.27</v>
      </c>
    </row>
    <row r="278" spans="1:20" x14ac:dyDescent="0.3">
      <c r="A278" s="7">
        <f t="shared" si="30"/>
        <v>273</v>
      </c>
      <c r="B278" s="8">
        <v>1204</v>
      </c>
      <c r="C278" s="9" t="str">
        <f t="shared" si="26"/>
        <v>3730x85185fe3A4e36079818Ba1d12705A9B6898997040xa60AdD2af71a4f50b3F94509E71a1e9DbDeA5dDa1601222unidade940027</v>
      </c>
      <c r="D278" s="13" t="s">
        <v>340</v>
      </c>
      <c r="E278" s="8" t="s">
        <v>740</v>
      </c>
      <c r="F278" s="8">
        <f t="shared" si="27"/>
        <v>0</v>
      </c>
      <c r="G278" s="8">
        <f t="shared" si="27"/>
        <v>0</v>
      </c>
      <c r="H278" s="8">
        <f t="shared" si="27"/>
        <v>0</v>
      </c>
      <c r="I278" s="8">
        <f t="shared" si="27"/>
        <v>1</v>
      </c>
      <c r="J278" s="8">
        <f t="shared" si="28"/>
        <v>0</v>
      </c>
      <c r="K278" s="15">
        <v>2.546296309446916E-4</v>
      </c>
      <c r="M278" s="8">
        <f t="shared" si="29"/>
        <v>373</v>
      </c>
      <c r="N278" s="9" t="s">
        <v>63</v>
      </c>
      <c r="O278" s="9" t="s">
        <v>16</v>
      </c>
      <c r="P278" s="9">
        <v>1601</v>
      </c>
      <c r="Q278" s="9">
        <v>222</v>
      </c>
      <c r="R278" s="8" t="s">
        <v>17</v>
      </c>
      <c r="S278" s="11">
        <v>94</v>
      </c>
      <c r="T278" s="10">
        <v>0.27</v>
      </c>
    </row>
    <row r="279" spans="1:20" x14ac:dyDescent="0.3">
      <c r="A279" s="7">
        <f t="shared" si="30"/>
        <v>274</v>
      </c>
      <c r="B279" s="8">
        <v>2808</v>
      </c>
      <c r="C279" s="9" t="str">
        <f t="shared" si="26"/>
        <v>3740x85185fe3A4e36079818Ba1d12705A9B6898997040xa60AdD2af71a4f50b3F94509E71a1e9DbDeA5dDa1229405unidade1170027</v>
      </c>
      <c r="D279" s="13" t="s">
        <v>341</v>
      </c>
      <c r="E279" s="8" t="s">
        <v>741</v>
      </c>
      <c r="F279" s="8">
        <f t="shared" si="27"/>
        <v>0</v>
      </c>
      <c r="G279" s="8">
        <f t="shared" si="27"/>
        <v>0</v>
      </c>
      <c r="H279" s="8">
        <f t="shared" si="27"/>
        <v>0</v>
      </c>
      <c r="I279" s="8">
        <f t="shared" si="27"/>
        <v>4</v>
      </c>
      <c r="J279" s="8">
        <f t="shared" si="28"/>
        <v>0</v>
      </c>
      <c r="K279" s="15">
        <v>5.671296312357299E-4</v>
      </c>
      <c r="M279" s="8">
        <f t="shared" si="29"/>
        <v>374</v>
      </c>
      <c r="N279" s="9" t="s">
        <v>63</v>
      </c>
      <c r="O279" s="9" t="s">
        <v>16</v>
      </c>
      <c r="P279" s="9">
        <v>1229</v>
      </c>
      <c r="Q279" s="9">
        <v>405</v>
      </c>
      <c r="R279" s="8" t="s">
        <v>17</v>
      </c>
      <c r="S279" s="11">
        <v>117</v>
      </c>
      <c r="T279" s="10">
        <v>0.27</v>
      </c>
    </row>
    <row r="280" spans="1:20" x14ac:dyDescent="0.3">
      <c r="A280" s="7">
        <f t="shared" si="30"/>
        <v>275</v>
      </c>
      <c r="B280" s="8">
        <v>5129</v>
      </c>
      <c r="C280" s="9" t="str">
        <f t="shared" si="26"/>
        <v>3750x85185fe3A4e36079818Ba1d12705A9B6898997040xa60AdD2af71a4f50b3F94509E71a1e9DbDeA5dDa1924228unidade1410027</v>
      </c>
      <c r="D280" s="13" t="s">
        <v>342</v>
      </c>
      <c r="E280" s="8" t="s">
        <v>742</v>
      </c>
      <c r="F280" s="8">
        <f t="shared" si="27"/>
        <v>0</v>
      </c>
      <c r="G280" s="8">
        <f t="shared" si="27"/>
        <v>0</v>
      </c>
      <c r="H280" s="8">
        <f t="shared" si="27"/>
        <v>0</v>
      </c>
      <c r="I280" s="8">
        <f t="shared" si="27"/>
        <v>1</v>
      </c>
      <c r="J280" s="8">
        <f t="shared" si="28"/>
        <v>0</v>
      </c>
      <c r="K280" s="15">
        <v>1.0648148090695031E-3</v>
      </c>
      <c r="M280" s="8">
        <f t="shared" si="29"/>
        <v>375</v>
      </c>
      <c r="N280" s="9" t="s">
        <v>63</v>
      </c>
      <c r="O280" s="9" t="s">
        <v>16</v>
      </c>
      <c r="P280" s="9">
        <v>1924</v>
      </c>
      <c r="Q280" s="9">
        <v>228</v>
      </c>
      <c r="R280" s="8" t="s">
        <v>17</v>
      </c>
      <c r="S280" s="11">
        <v>141</v>
      </c>
      <c r="T280" s="10">
        <v>0.27</v>
      </c>
    </row>
    <row r="281" spans="1:20" x14ac:dyDescent="0.3">
      <c r="A281" s="7">
        <f t="shared" si="30"/>
        <v>276</v>
      </c>
      <c r="B281" s="8">
        <v>530</v>
      </c>
      <c r="C281" s="9" t="str">
        <f t="shared" si="26"/>
        <v>3760x85185fe3A4e36079818Ba1d12705A9B6898997040xa60AdD2af71a4f50b3F94509E71a1e9DbDeA5dDa1999305unidade910027</v>
      </c>
      <c r="D281" s="13" t="s">
        <v>343</v>
      </c>
      <c r="E281" s="8" t="s">
        <v>743</v>
      </c>
      <c r="F281" s="8">
        <f t="shared" si="27"/>
        <v>0</v>
      </c>
      <c r="G281" s="8">
        <f t="shared" si="27"/>
        <v>0</v>
      </c>
      <c r="H281" s="8">
        <f t="shared" si="27"/>
        <v>0</v>
      </c>
      <c r="I281" s="8">
        <f t="shared" si="27"/>
        <v>1</v>
      </c>
      <c r="J281" s="8">
        <f t="shared" si="28"/>
        <v>0</v>
      </c>
      <c r="K281" s="15">
        <v>1.1574074596865103E-4</v>
      </c>
      <c r="M281" s="8">
        <f t="shared" si="29"/>
        <v>376</v>
      </c>
      <c r="N281" s="9" t="s">
        <v>63</v>
      </c>
      <c r="O281" s="9" t="s">
        <v>16</v>
      </c>
      <c r="P281" s="9">
        <v>1999</v>
      </c>
      <c r="Q281" s="9">
        <v>305</v>
      </c>
      <c r="R281" s="8" t="s">
        <v>17</v>
      </c>
      <c r="S281" s="11">
        <v>91</v>
      </c>
      <c r="T281" s="10">
        <v>0.27</v>
      </c>
    </row>
    <row r="282" spans="1:20" x14ac:dyDescent="0.3">
      <c r="A282" s="7">
        <f t="shared" si="30"/>
        <v>277</v>
      </c>
      <c r="B282" s="8">
        <v>960</v>
      </c>
      <c r="C282" s="9" t="str">
        <f t="shared" si="26"/>
        <v>3770x85185fe3A4e36079818Ba1d12705A9B6898997040xa60AdD2af71a4f50b3F94509E71a1e9DbDeA5dDa1775222unidade1950027</v>
      </c>
      <c r="D282" s="13" t="s">
        <v>344</v>
      </c>
      <c r="E282" s="8" t="s">
        <v>744</v>
      </c>
      <c r="F282" s="8">
        <f t="shared" si="27"/>
        <v>0</v>
      </c>
      <c r="G282" s="8">
        <f t="shared" si="27"/>
        <v>0</v>
      </c>
      <c r="H282" s="8">
        <f t="shared" si="27"/>
        <v>0</v>
      </c>
      <c r="I282" s="8">
        <f t="shared" si="27"/>
        <v>1</v>
      </c>
      <c r="J282" s="8">
        <f t="shared" si="28"/>
        <v>0</v>
      </c>
      <c r="K282" s="15">
        <v>1.9675925432238728E-4</v>
      </c>
      <c r="M282" s="8">
        <f t="shared" si="29"/>
        <v>377</v>
      </c>
      <c r="N282" s="9" t="s">
        <v>63</v>
      </c>
      <c r="O282" s="9" t="s">
        <v>16</v>
      </c>
      <c r="P282" s="9">
        <v>1775</v>
      </c>
      <c r="Q282" s="9">
        <v>222</v>
      </c>
      <c r="R282" s="8" t="s">
        <v>17</v>
      </c>
      <c r="S282" s="11">
        <v>195</v>
      </c>
      <c r="T282" s="10">
        <v>0.27</v>
      </c>
    </row>
    <row r="283" spans="1:20" x14ac:dyDescent="0.3">
      <c r="A283" s="7">
        <f t="shared" si="30"/>
        <v>278</v>
      </c>
      <c r="B283" s="8">
        <v>5014</v>
      </c>
      <c r="C283" s="9" t="str">
        <f t="shared" si="26"/>
        <v>3780x85185fe3A4e36079818Ba1d12705A9B6898997040xa60AdD2af71a4f50b3F94509E71a1e9DbDeA5dDa1302133unidade1070027</v>
      </c>
      <c r="D283" s="13" t="s">
        <v>345</v>
      </c>
      <c r="E283" s="8" t="s">
        <v>745</v>
      </c>
      <c r="F283" s="8">
        <f t="shared" si="27"/>
        <v>0</v>
      </c>
      <c r="G283" s="8">
        <f t="shared" si="27"/>
        <v>0</v>
      </c>
      <c r="H283" s="8">
        <f t="shared" si="27"/>
        <v>0</v>
      </c>
      <c r="I283" s="8">
        <f t="shared" si="27"/>
        <v>1</v>
      </c>
      <c r="J283" s="8">
        <f t="shared" si="28"/>
        <v>0</v>
      </c>
      <c r="K283" s="15">
        <v>1.0300925932824612E-3</v>
      </c>
      <c r="M283" s="8">
        <f t="shared" si="29"/>
        <v>378</v>
      </c>
      <c r="N283" s="9" t="s">
        <v>63</v>
      </c>
      <c r="O283" s="9" t="s">
        <v>16</v>
      </c>
      <c r="P283" s="9">
        <v>1302</v>
      </c>
      <c r="Q283" s="9">
        <v>133</v>
      </c>
      <c r="R283" s="8" t="s">
        <v>17</v>
      </c>
      <c r="S283" s="11">
        <v>107</v>
      </c>
      <c r="T283" s="10">
        <v>0.27</v>
      </c>
    </row>
    <row r="284" spans="1:20" x14ac:dyDescent="0.3">
      <c r="A284" s="7">
        <f t="shared" si="30"/>
        <v>279</v>
      </c>
      <c r="B284" s="8">
        <v>527</v>
      </c>
      <c r="C284" s="9" t="str">
        <f t="shared" si="26"/>
        <v>3790x85185fe3A4e36079818Ba1d12705A9B6898997040xa60AdD2af71a4f50b3F94509E71a1e9DbDeA5dDa1750385unidade1570027</v>
      </c>
      <c r="D284" s="13" t="s">
        <v>346</v>
      </c>
      <c r="E284" s="8" t="s">
        <v>746</v>
      </c>
      <c r="F284" s="8">
        <f t="shared" si="27"/>
        <v>0</v>
      </c>
      <c r="G284" s="8">
        <f t="shared" si="27"/>
        <v>0</v>
      </c>
      <c r="H284" s="8">
        <f t="shared" si="27"/>
        <v>0</v>
      </c>
      <c r="I284" s="8">
        <f t="shared" si="27"/>
        <v>4</v>
      </c>
      <c r="J284" s="8">
        <f t="shared" si="28"/>
        <v>0</v>
      </c>
      <c r="K284" s="15">
        <v>1.1574073869269341E-4</v>
      </c>
      <c r="M284" s="8">
        <f t="shared" si="29"/>
        <v>379</v>
      </c>
      <c r="N284" s="9" t="s">
        <v>63</v>
      </c>
      <c r="O284" s="9" t="s">
        <v>16</v>
      </c>
      <c r="P284" s="9">
        <v>1750</v>
      </c>
      <c r="Q284" s="9">
        <v>385</v>
      </c>
      <c r="R284" s="8" t="s">
        <v>17</v>
      </c>
      <c r="S284" s="11">
        <v>157</v>
      </c>
      <c r="T284" s="10">
        <v>0.27</v>
      </c>
    </row>
    <row r="285" spans="1:20" x14ac:dyDescent="0.3">
      <c r="A285" s="7">
        <f t="shared" si="30"/>
        <v>280</v>
      </c>
      <c r="B285" s="8">
        <v>178</v>
      </c>
      <c r="C285" s="9" t="str">
        <f t="shared" si="26"/>
        <v>3800x85185fe3A4e36079818Ba1d12705A9B6898997040xa60AdD2af71a4f50b3F94509E71a1e9DbDeA5dDa1834252unidade920027</v>
      </c>
      <c r="D285" s="13" t="s">
        <v>347</v>
      </c>
      <c r="E285" s="8" t="s">
        <v>747</v>
      </c>
      <c r="F285" s="8">
        <f t="shared" si="27"/>
        <v>0</v>
      </c>
      <c r="G285" s="8">
        <f t="shared" si="27"/>
        <v>0</v>
      </c>
      <c r="H285" s="8">
        <f t="shared" si="27"/>
        <v>0</v>
      </c>
      <c r="I285" s="8">
        <f t="shared" si="27"/>
        <v>1</v>
      </c>
      <c r="J285" s="8">
        <f t="shared" si="28"/>
        <v>0</v>
      </c>
      <c r="K285" s="15">
        <v>3.4722223062999547E-5</v>
      </c>
      <c r="M285" s="8">
        <f t="shared" si="29"/>
        <v>380</v>
      </c>
      <c r="N285" s="9" t="s">
        <v>63</v>
      </c>
      <c r="O285" s="9" t="s">
        <v>16</v>
      </c>
      <c r="P285" s="9">
        <v>1834</v>
      </c>
      <c r="Q285" s="9">
        <v>252</v>
      </c>
      <c r="R285" s="8" t="s">
        <v>17</v>
      </c>
      <c r="S285" s="11">
        <v>92</v>
      </c>
      <c r="T285" s="10">
        <v>0.27</v>
      </c>
    </row>
    <row r="286" spans="1:20" x14ac:dyDescent="0.3">
      <c r="A286" s="7">
        <f t="shared" si="30"/>
        <v>281</v>
      </c>
      <c r="B286" s="8">
        <v>2054</v>
      </c>
      <c r="C286" s="9" t="str">
        <f t="shared" si="26"/>
        <v>3810x85185fe3A4e36079818Ba1d12705A9B6898997040xa60AdD2af71a4f50b3F94509E71a1e9DbDeA5dDa1216291unidade850027</v>
      </c>
      <c r="D286" s="13" t="s">
        <v>348</v>
      </c>
      <c r="E286" s="8" t="s">
        <v>748</v>
      </c>
      <c r="F286" s="8">
        <f t="shared" si="27"/>
        <v>0</v>
      </c>
      <c r="G286" s="8">
        <f t="shared" si="27"/>
        <v>0</v>
      </c>
      <c r="H286" s="8">
        <f t="shared" si="27"/>
        <v>0</v>
      </c>
      <c r="I286" s="8">
        <f t="shared" si="27"/>
        <v>1</v>
      </c>
      <c r="J286" s="8">
        <f t="shared" si="28"/>
        <v>0</v>
      </c>
      <c r="K286" s="15">
        <v>4.2824074625968933E-4</v>
      </c>
      <c r="M286" s="8">
        <f t="shared" si="29"/>
        <v>381</v>
      </c>
      <c r="N286" s="9" t="s">
        <v>63</v>
      </c>
      <c r="O286" s="9" t="s">
        <v>16</v>
      </c>
      <c r="P286" s="9">
        <v>1216</v>
      </c>
      <c r="Q286" s="9">
        <v>291</v>
      </c>
      <c r="R286" s="8" t="s">
        <v>17</v>
      </c>
      <c r="S286" s="11">
        <v>85</v>
      </c>
      <c r="T286" s="10">
        <v>0.27</v>
      </c>
    </row>
    <row r="287" spans="1:20" x14ac:dyDescent="0.3">
      <c r="A287" s="7">
        <f t="shared" si="30"/>
        <v>282</v>
      </c>
      <c r="B287" s="8">
        <v>1373</v>
      </c>
      <c r="C287" s="9" t="str">
        <f t="shared" si="26"/>
        <v>3820x85185fe3A4e36079818Ba1d12705A9B6898997040xa60AdD2af71a4f50b3F94509E71a1e9DbDeA5dDa1228412unidade1380027</v>
      </c>
      <c r="D287" s="13" t="s">
        <v>349</v>
      </c>
      <c r="E287" s="8" t="s">
        <v>749</v>
      </c>
      <c r="F287" s="8">
        <f t="shared" si="27"/>
        <v>0</v>
      </c>
      <c r="G287" s="8">
        <f t="shared" si="27"/>
        <v>0</v>
      </c>
      <c r="H287" s="8">
        <f t="shared" si="27"/>
        <v>0</v>
      </c>
      <c r="I287" s="8">
        <f t="shared" si="27"/>
        <v>1</v>
      </c>
      <c r="J287" s="8">
        <f t="shared" si="28"/>
        <v>0</v>
      </c>
      <c r="K287" s="15">
        <v>2.7777777722803876E-4</v>
      </c>
      <c r="M287" s="8">
        <f t="shared" si="29"/>
        <v>382</v>
      </c>
      <c r="N287" s="9" t="s">
        <v>63</v>
      </c>
      <c r="O287" s="9" t="s">
        <v>16</v>
      </c>
      <c r="P287" s="9">
        <v>1228</v>
      </c>
      <c r="Q287" s="9">
        <v>412</v>
      </c>
      <c r="R287" s="8" t="s">
        <v>17</v>
      </c>
      <c r="S287" s="11">
        <v>138</v>
      </c>
      <c r="T287" s="10">
        <v>0.27</v>
      </c>
    </row>
    <row r="288" spans="1:20" x14ac:dyDescent="0.3">
      <c r="A288" s="7">
        <f t="shared" si="30"/>
        <v>283</v>
      </c>
      <c r="B288" s="8">
        <v>20</v>
      </c>
      <c r="C288" s="9" t="str">
        <f t="shared" si="26"/>
        <v>3830x85185fe3A4e36079818Ba1d12705A9B6898997040xa60AdD2af71a4f50b3F94509E71a1e9DbDeA5dDa1707374unidade2010027</v>
      </c>
      <c r="D288" s="13" t="s">
        <v>350</v>
      </c>
      <c r="E288" s="8" t="s">
        <v>750</v>
      </c>
      <c r="F288" s="8">
        <f t="shared" si="27"/>
        <v>0</v>
      </c>
      <c r="G288" s="8">
        <f t="shared" si="27"/>
        <v>0</v>
      </c>
      <c r="H288" s="8">
        <f t="shared" si="27"/>
        <v>0</v>
      </c>
      <c r="I288" s="8">
        <f t="shared" si="27"/>
        <v>2</v>
      </c>
      <c r="J288" s="8">
        <f t="shared" si="28"/>
        <v>0</v>
      </c>
      <c r="K288" s="15">
        <v>1.1574069503694773E-5</v>
      </c>
      <c r="M288" s="8">
        <f t="shared" si="29"/>
        <v>383</v>
      </c>
      <c r="N288" s="9" t="s">
        <v>63</v>
      </c>
      <c r="O288" s="9" t="s">
        <v>16</v>
      </c>
      <c r="P288" s="9">
        <v>1707</v>
      </c>
      <c r="Q288" s="9">
        <v>374</v>
      </c>
      <c r="R288" s="8" t="s">
        <v>17</v>
      </c>
      <c r="S288" s="11">
        <v>201</v>
      </c>
      <c r="T288" s="10">
        <v>0.27</v>
      </c>
    </row>
    <row r="289" spans="1:20" x14ac:dyDescent="0.3">
      <c r="A289" s="7">
        <f t="shared" si="30"/>
        <v>284</v>
      </c>
      <c r="B289" s="8">
        <v>3019</v>
      </c>
      <c r="C289" s="9" t="str">
        <f t="shared" si="26"/>
        <v>3840x85185fe3A4e36079818Ba1d12705A9B6898997040xa60AdD2af71a4f50b3F94509E71a1e9DbDeA5dDa1134260unidade1190027</v>
      </c>
      <c r="D289" s="13" t="s">
        <v>351</v>
      </c>
      <c r="E289" s="8" t="s">
        <v>751</v>
      </c>
      <c r="F289" s="8">
        <f t="shared" si="27"/>
        <v>0</v>
      </c>
      <c r="G289" s="8">
        <f t="shared" si="27"/>
        <v>0</v>
      </c>
      <c r="H289" s="8">
        <f t="shared" si="27"/>
        <v>0</v>
      </c>
      <c r="I289" s="8">
        <f t="shared" si="27"/>
        <v>0</v>
      </c>
      <c r="J289" s="8">
        <f t="shared" si="28"/>
        <v>0</v>
      </c>
      <c r="K289" s="15">
        <v>6.2500000058207661E-4</v>
      </c>
      <c r="M289" s="8">
        <f t="shared" si="29"/>
        <v>384</v>
      </c>
      <c r="N289" s="9" t="s">
        <v>63</v>
      </c>
      <c r="O289" s="9" t="s">
        <v>16</v>
      </c>
      <c r="P289" s="9">
        <v>1134</v>
      </c>
      <c r="Q289" s="9">
        <v>260</v>
      </c>
      <c r="R289" s="8" t="s">
        <v>17</v>
      </c>
      <c r="S289" s="11">
        <v>119</v>
      </c>
      <c r="T289" s="10">
        <v>0.27</v>
      </c>
    </row>
    <row r="290" spans="1:20" x14ac:dyDescent="0.3">
      <c r="A290" s="7">
        <f t="shared" si="30"/>
        <v>285</v>
      </c>
      <c r="B290" s="8">
        <v>998</v>
      </c>
      <c r="C290" s="9" t="str">
        <f t="shared" si="26"/>
        <v>3850x85185fe3A4e36079818Ba1d12705A9B6898997040xa60AdD2af71a4f50b3F94509E71a1e9DbDeA5dDa1071425unidade2040027</v>
      </c>
      <c r="D290" s="13" t="s">
        <v>352</v>
      </c>
      <c r="E290" s="8" t="s">
        <v>752</v>
      </c>
      <c r="F290" s="8">
        <f t="shared" si="27"/>
        <v>0</v>
      </c>
      <c r="G290" s="8">
        <f t="shared" si="27"/>
        <v>0</v>
      </c>
      <c r="H290" s="8">
        <f t="shared" si="27"/>
        <v>0</v>
      </c>
      <c r="I290" s="8">
        <f t="shared" si="27"/>
        <v>1</v>
      </c>
      <c r="J290" s="8">
        <f t="shared" si="28"/>
        <v>0</v>
      </c>
      <c r="K290" s="15">
        <v>2.0833333837799728E-4</v>
      </c>
      <c r="M290" s="8">
        <f t="shared" si="29"/>
        <v>385</v>
      </c>
      <c r="N290" s="9" t="s">
        <v>63</v>
      </c>
      <c r="O290" s="9" t="s">
        <v>16</v>
      </c>
      <c r="P290" s="9">
        <v>1071</v>
      </c>
      <c r="Q290" s="9">
        <v>425</v>
      </c>
      <c r="R290" s="8" t="s">
        <v>17</v>
      </c>
      <c r="S290" s="11">
        <v>204</v>
      </c>
      <c r="T290" s="10">
        <v>0.27</v>
      </c>
    </row>
    <row r="291" spans="1:20" x14ac:dyDescent="0.3">
      <c r="A291" s="7">
        <f t="shared" si="30"/>
        <v>286</v>
      </c>
      <c r="B291" s="8">
        <v>7378</v>
      </c>
      <c r="C291" s="9" t="str">
        <f t="shared" si="26"/>
        <v>3860x85185fe3A4e36079818Ba1d12705A9B6898997040xa60AdD2af71a4f50b3F94509E71a1e9DbDeA5dDa1798179unidade2140027</v>
      </c>
      <c r="D291" s="13" t="s">
        <v>353</v>
      </c>
      <c r="E291" s="8" t="s">
        <v>753</v>
      </c>
      <c r="F291" s="8">
        <f t="shared" si="27"/>
        <v>0</v>
      </c>
      <c r="G291" s="8">
        <f t="shared" si="27"/>
        <v>0</v>
      </c>
      <c r="H291" s="8">
        <f t="shared" si="27"/>
        <v>0</v>
      </c>
      <c r="I291" s="8">
        <f t="shared" si="27"/>
        <v>7</v>
      </c>
      <c r="J291" s="8">
        <f t="shared" si="28"/>
        <v>0</v>
      </c>
      <c r="K291" s="15">
        <v>1.5277777711162344E-3</v>
      </c>
      <c r="M291" s="8">
        <f t="shared" si="29"/>
        <v>386</v>
      </c>
      <c r="N291" s="9" t="s">
        <v>63</v>
      </c>
      <c r="O291" s="9" t="s">
        <v>16</v>
      </c>
      <c r="P291" s="9">
        <v>1798</v>
      </c>
      <c r="Q291" s="9">
        <v>179</v>
      </c>
      <c r="R291" s="8" t="s">
        <v>17</v>
      </c>
      <c r="S291" s="11">
        <v>214</v>
      </c>
      <c r="T291" s="10">
        <v>0.27</v>
      </c>
    </row>
    <row r="292" spans="1:20" x14ac:dyDescent="0.3">
      <c r="A292" s="7">
        <f t="shared" si="30"/>
        <v>287</v>
      </c>
      <c r="B292" s="8">
        <v>1485</v>
      </c>
      <c r="C292" s="9" t="str">
        <f t="shared" si="26"/>
        <v>3870x85185fe3A4e36079818Ba1d12705A9B6898997040xa60AdD2af71a4f50b3F94509E71a1e9DbDeA5dDa1071129unidade1270027</v>
      </c>
      <c r="D292" s="13" t="s">
        <v>354</v>
      </c>
      <c r="E292" s="8" t="s">
        <v>754</v>
      </c>
      <c r="F292" s="8">
        <f t="shared" si="27"/>
        <v>0</v>
      </c>
      <c r="G292" s="8">
        <f t="shared" si="27"/>
        <v>0</v>
      </c>
      <c r="H292" s="8">
        <f t="shared" si="27"/>
        <v>0</v>
      </c>
      <c r="I292" s="8">
        <f t="shared" si="27"/>
        <v>8</v>
      </c>
      <c r="J292" s="8">
        <f t="shared" si="28"/>
        <v>0</v>
      </c>
      <c r="K292" s="15">
        <v>3.0092592351138592E-4</v>
      </c>
      <c r="M292" s="8">
        <f t="shared" si="29"/>
        <v>387</v>
      </c>
      <c r="N292" s="9" t="s">
        <v>63</v>
      </c>
      <c r="O292" s="9" t="s">
        <v>16</v>
      </c>
      <c r="P292" s="9">
        <v>1071</v>
      </c>
      <c r="Q292" s="9">
        <v>129</v>
      </c>
      <c r="R292" s="8" t="s">
        <v>17</v>
      </c>
      <c r="S292" s="11">
        <v>127</v>
      </c>
      <c r="T292" s="10">
        <v>0.27</v>
      </c>
    </row>
    <row r="293" spans="1:20" x14ac:dyDescent="0.3">
      <c r="A293" s="7">
        <f t="shared" si="30"/>
        <v>288</v>
      </c>
      <c r="B293" s="8">
        <v>3566</v>
      </c>
      <c r="C293" s="9" t="str">
        <f t="shared" si="26"/>
        <v>3880x85185fe3A4e36079818Ba1d12705A9B6898997040xa60AdD2af71a4f50b3F94509E71a1e9DbDeA5dDa1758211unidade2130027</v>
      </c>
      <c r="D293" s="13" t="s">
        <v>355</v>
      </c>
      <c r="E293" s="8" t="s">
        <v>755</v>
      </c>
      <c r="F293" s="8">
        <f t="shared" si="27"/>
        <v>0</v>
      </c>
      <c r="G293" s="8">
        <f t="shared" si="27"/>
        <v>0</v>
      </c>
      <c r="H293" s="8">
        <f t="shared" si="27"/>
        <v>0</v>
      </c>
      <c r="I293" s="8">
        <f t="shared" si="27"/>
        <v>5</v>
      </c>
      <c r="J293" s="8">
        <f t="shared" si="28"/>
        <v>0</v>
      </c>
      <c r="K293" s="15">
        <v>7.2916666977107525E-4</v>
      </c>
      <c r="M293" s="8">
        <f t="shared" si="29"/>
        <v>388</v>
      </c>
      <c r="N293" s="9" t="s">
        <v>63</v>
      </c>
      <c r="O293" s="9" t="s">
        <v>16</v>
      </c>
      <c r="P293" s="9">
        <v>1758</v>
      </c>
      <c r="Q293" s="9">
        <v>211</v>
      </c>
      <c r="R293" s="8" t="s">
        <v>17</v>
      </c>
      <c r="S293" s="11">
        <v>213</v>
      </c>
      <c r="T293" s="10">
        <v>0.27</v>
      </c>
    </row>
    <row r="294" spans="1:20" x14ac:dyDescent="0.3">
      <c r="A294" s="7">
        <f t="shared" si="30"/>
        <v>289</v>
      </c>
      <c r="B294" s="8">
        <v>631</v>
      </c>
      <c r="C294" s="9" t="str">
        <f t="shared" si="26"/>
        <v>3890x85185fe3A4e36079818Ba1d12705A9B6898997040xa60AdD2af71a4f50b3F94509E71a1e9DbDeA5dDa1054485unidade2210027</v>
      </c>
      <c r="D294" s="13" t="s">
        <v>356</v>
      </c>
      <c r="E294" s="8" t="s">
        <v>756</v>
      </c>
      <c r="F294" s="8">
        <f t="shared" si="27"/>
        <v>0</v>
      </c>
      <c r="G294" s="8">
        <f t="shared" si="27"/>
        <v>0</v>
      </c>
      <c r="H294" s="8">
        <f t="shared" si="27"/>
        <v>0</v>
      </c>
      <c r="I294" s="8">
        <f t="shared" si="27"/>
        <v>2</v>
      </c>
      <c r="J294" s="8">
        <f t="shared" si="28"/>
        <v>0</v>
      </c>
      <c r="K294" s="15">
        <v>1.273148154723458E-4</v>
      </c>
      <c r="M294" s="8">
        <f t="shared" si="29"/>
        <v>389</v>
      </c>
      <c r="N294" s="9" t="s">
        <v>63</v>
      </c>
      <c r="O294" s="9" t="s">
        <v>16</v>
      </c>
      <c r="P294" s="9">
        <v>1054</v>
      </c>
      <c r="Q294" s="9">
        <v>485</v>
      </c>
      <c r="R294" s="8" t="s">
        <v>17</v>
      </c>
      <c r="S294" s="11">
        <v>221</v>
      </c>
      <c r="T294" s="10">
        <v>0.27</v>
      </c>
    </row>
    <row r="295" spans="1:20" x14ac:dyDescent="0.3">
      <c r="A295" s="7">
        <f t="shared" si="30"/>
        <v>290</v>
      </c>
      <c r="B295" s="8">
        <v>5994</v>
      </c>
      <c r="C295" s="9" t="str">
        <f t="shared" si="26"/>
        <v>3900x85185fe3A4e36079818Ba1d12705A9B6898997040xa60AdD2af71a4f50b3F94509E71a1e9DbDeA5dDa1954253unidade1340027</v>
      </c>
      <c r="D295" s="13" t="s">
        <v>357</v>
      </c>
      <c r="E295" s="8" t="s">
        <v>757</v>
      </c>
      <c r="F295" s="8">
        <f t="shared" si="27"/>
        <v>0</v>
      </c>
      <c r="G295" s="8">
        <f t="shared" si="27"/>
        <v>0</v>
      </c>
      <c r="H295" s="8">
        <f t="shared" si="27"/>
        <v>0</v>
      </c>
      <c r="I295" s="8">
        <f t="shared" si="27"/>
        <v>7</v>
      </c>
      <c r="J295" s="8">
        <f t="shared" si="28"/>
        <v>0</v>
      </c>
      <c r="K295" s="15">
        <v>1.2384259243845008E-3</v>
      </c>
      <c r="M295" s="8">
        <f t="shared" si="29"/>
        <v>390</v>
      </c>
      <c r="N295" s="9" t="s">
        <v>63</v>
      </c>
      <c r="O295" s="9" t="s">
        <v>16</v>
      </c>
      <c r="P295" s="9">
        <v>1954</v>
      </c>
      <c r="Q295" s="9">
        <v>253</v>
      </c>
      <c r="R295" s="8" t="s">
        <v>17</v>
      </c>
      <c r="S295" s="11">
        <v>134</v>
      </c>
      <c r="T295" s="10">
        <v>0.27</v>
      </c>
    </row>
    <row r="296" spans="1:20" x14ac:dyDescent="0.3">
      <c r="A296" s="7">
        <f t="shared" si="30"/>
        <v>291</v>
      </c>
      <c r="B296" s="8">
        <v>1001</v>
      </c>
      <c r="C296" s="9" t="str">
        <f t="shared" si="26"/>
        <v>3910x85185fe3A4e36079818Ba1d12705A9B6898997040xa60AdD2af71a4f50b3F94509E71a1e9DbDeA5dDa1277112unidade660027</v>
      </c>
      <c r="D296" s="13" t="s">
        <v>358</v>
      </c>
      <c r="E296" s="8" t="s">
        <v>758</v>
      </c>
      <c r="F296" s="8">
        <f t="shared" si="27"/>
        <v>0</v>
      </c>
      <c r="G296" s="8">
        <f t="shared" si="27"/>
        <v>0</v>
      </c>
      <c r="H296" s="8">
        <f t="shared" si="27"/>
        <v>0</v>
      </c>
      <c r="I296" s="8">
        <f t="shared" si="27"/>
        <v>1</v>
      </c>
      <c r="J296" s="8">
        <f t="shared" si="28"/>
        <v>0</v>
      </c>
      <c r="K296" s="15">
        <v>2.0833333110203966E-4</v>
      </c>
      <c r="M296" s="8">
        <f t="shared" si="29"/>
        <v>391</v>
      </c>
      <c r="N296" s="9" t="s">
        <v>63</v>
      </c>
      <c r="O296" s="9" t="s">
        <v>16</v>
      </c>
      <c r="P296" s="9">
        <v>1277</v>
      </c>
      <c r="Q296" s="9">
        <v>112</v>
      </c>
      <c r="R296" s="8" t="s">
        <v>17</v>
      </c>
      <c r="S296" s="11">
        <v>66</v>
      </c>
      <c r="T296" s="10">
        <v>0.27</v>
      </c>
    </row>
    <row r="297" spans="1:20" x14ac:dyDescent="0.3">
      <c r="A297" s="7">
        <f t="shared" si="30"/>
        <v>292</v>
      </c>
      <c r="B297" s="8">
        <v>2863</v>
      </c>
      <c r="C297" s="9" t="str">
        <f t="shared" si="26"/>
        <v>3920x85185fe3A4e36079818Ba1d12705A9B6898997040xa60AdD2af71a4f50b3F94509E71a1e9DbDeA5dDa1223297unidade990027</v>
      </c>
      <c r="D297" s="13" t="s">
        <v>359</v>
      </c>
      <c r="E297" s="8" t="s">
        <v>759</v>
      </c>
      <c r="F297" s="8">
        <f t="shared" si="27"/>
        <v>0</v>
      </c>
      <c r="G297" s="8">
        <f t="shared" si="27"/>
        <v>0</v>
      </c>
      <c r="H297" s="8">
        <f t="shared" si="27"/>
        <v>0</v>
      </c>
      <c r="I297" s="8">
        <f t="shared" ref="F297:I360" si="31">IFERROR(VALUE(MID($E297,I$1,1)),1)</f>
        <v>1</v>
      </c>
      <c r="J297" s="8">
        <f t="shared" si="28"/>
        <v>0</v>
      </c>
      <c r="K297" s="15">
        <v>6.1342593107838184E-4</v>
      </c>
      <c r="M297" s="8">
        <f t="shared" si="29"/>
        <v>392</v>
      </c>
      <c r="N297" s="9" t="s">
        <v>63</v>
      </c>
      <c r="O297" s="9" t="s">
        <v>16</v>
      </c>
      <c r="P297" s="9">
        <v>1223</v>
      </c>
      <c r="Q297" s="9">
        <v>297</v>
      </c>
      <c r="R297" s="8" t="s">
        <v>17</v>
      </c>
      <c r="S297" s="11">
        <v>99</v>
      </c>
      <c r="T297" s="10">
        <v>0.27</v>
      </c>
    </row>
    <row r="298" spans="1:20" x14ac:dyDescent="0.3">
      <c r="A298" s="7">
        <f t="shared" si="30"/>
        <v>293</v>
      </c>
      <c r="B298" s="8">
        <v>1690</v>
      </c>
      <c r="C298" s="9" t="str">
        <f t="shared" ref="C298:C361" si="32">M298&amp;N298&amp;O298&amp;P298&amp;Q298&amp;R298&amp;(S298*100)&amp;(T298*100)</f>
        <v>3930x85185fe3A4e36079818Ba1d12705A9B6898997040xa60AdD2af71a4f50b3F94509E71a1e9DbDeA5dDa1491421unidade1180027</v>
      </c>
      <c r="D298" s="13" t="s">
        <v>360</v>
      </c>
      <c r="E298" s="8" t="s">
        <v>760</v>
      </c>
      <c r="F298" s="8">
        <f t="shared" si="31"/>
        <v>0</v>
      </c>
      <c r="G298" s="8">
        <f t="shared" si="31"/>
        <v>0</v>
      </c>
      <c r="H298" s="8">
        <f t="shared" si="31"/>
        <v>0</v>
      </c>
      <c r="I298" s="8">
        <f t="shared" si="31"/>
        <v>5</v>
      </c>
      <c r="J298" s="8">
        <f t="shared" ref="J298:J361" si="33">SUM(F298:H298)</f>
        <v>0</v>
      </c>
      <c r="K298" s="15">
        <v>3.7037036963738501E-4</v>
      </c>
      <c r="M298" s="8">
        <f t="shared" si="29"/>
        <v>393</v>
      </c>
      <c r="N298" s="9" t="s">
        <v>63</v>
      </c>
      <c r="O298" s="9" t="s">
        <v>16</v>
      </c>
      <c r="P298" s="9">
        <v>1491</v>
      </c>
      <c r="Q298" s="9">
        <v>421</v>
      </c>
      <c r="R298" s="8" t="s">
        <v>17</v>
      </c>
      <c r="S298" s="11">
        <v>118</v>
      </c>
      <c r="T298" s="10">
        <v>0.27</v>
      </c>
    </row>
    <row r="299" spans="1:20" x14ac:dyDescent="0.3">
      <c r="A299" s="7">
        <f t="shared" si="30"/>
        <v>294</v>
      </c>
      <c r="B299" s="8">
        <v>38</v>
      </c>
      <c r="C299" s="9" t="str">
        <f t="shared" si="32"/>
        <v>3940x85185fe3A4e36079818Ba1d12705A9B6898997040xa60AdD2af71a4f50b3F94509E71a1e9DbDeA5dDa1568304unidade2230027</v>
      </c>
      <c r="D299" s="13" t="s">
        <v>361</v>
      </c>
      <c r="E299" s="8" t="s">
        <v>761</v>
      </c>
      <c r="F299" s="8">
        <f t="shared" si="31"/>
        <v>0</v>
      </c>
      <c r="G299" s="8">
        <f t="shared" si="31"/>
        <v>0</v>
      </c>
      <c r="H299" s="8">
        <f t="shared" si="31"/>
        <v>0</v>
      </c>
      <c r="I299" s="8">
        <f t="shared" si="31"/>
        <v>0</v>
      </c>
      <c r="J299" s="8">
        <f t="shared" si="33"/>
        <v>0</v>
      </c>
      <c r="K299" s="15">
        <v>1.1574069503694773E-5</v>
      </c>
      <c r="M299" s="8">
        <f t="shared" si="29"/>
        <v>394</v>
      </c>
      <c r="N299" s="9" t="s">
        <v>63</v>
      </c>
      <c r="O299" s="9" t="s">
        <v>16</v>
      </c>
      <c r="P299" s="9">
        <v>1568</v>
      </c>
      <c r="Q299" s="9">
        <v>304</v>
      </c>
      <c r="R299" s="8" t="s">
        <v>17</v>
      </c>
      <c r="S299" s="11">
        <v>223</v>
      </c>
      <c r="T299" s="10">
        <v>0.27</v>
      </c>
    </row>
    <row r="300" spans="1:20" x14ac:dyDescent="0.3">
      <c r="A300" s="7">
        <f t="shared" si="30"/>
        <v>295</v>
      </c>
      <c r="B300" s="8">
        <v>1297</v>
      </c>
      <c r="C300" s="9" t="str">
        <f t="shared" si="32"/>
        <v>3950x85185fe3A4e36079818Ba1d12705A9B6898997040xa60AdD2af71a4f50b3F94509E71a1e9DbDeA5dDa1297425unidade1120027</v>
      </c>
      <c r="D300" s="13" t="s">
        <v>362</v>
      </c>
      <c r="E300" s="8" t="s">
        <v>762</v>
      </c>
      <c r="F300" s="8">
        <f t="shared" si="31"/>
        <v>0</v>
      </c>
      <c r="G300" s="8">
        <f t="shared" si="31"/>
        <v>0</v>
      </c>
      <c r="H300" s="8">
        <f t="shared" si="31"/>
        <v>0</v>
      </c>
      <c r="I300" s="8">
        <f t="shared" si="31"/>
        <v>4</v>
      </c>
      <c r="J300" s="8">
        <f t="shared" si="33"/>
        <v>0</v>
      </c>
      <c r="K300" s="15">
        <v>2.6620370772434399E-4</v>
      </c>
      <c r="M300" s="8">
        <f t="shared" si="29"/>
        <v>395</v>
      </c>
      <c r="N300" s="9" t="s">
        <v>63</v>
      </c>
      <c r="O300" s="9" t="s">
        <v>16</v>
      </c>
      <c r="P300" s="9">
        <v>1297</v>
      </c>
      <c r="Q300" s="9">
        <v>425</v>
      </c>
      <c r="R300" s="8" t="s">
        <v>17</v>
      </c>
      <c r="S300" s="11">
        <v>112</v>
      </c>
      <c r="T300" s="10">
        <v>0.27</v>
      </c>
    </row>
    <row r="301" spans="1:20" x14ac:dyDescent="0.3">
      <c r="A301" s="7">
        <f t="shared" si="30"/>
        <v>296</v>
      </c>
      <c r="B301" s="8">
        <v>3744</v>
      </c>
      <c r="C301" s="9" t="str">
        <f t="shared" si="32"/>
        <v>3960x85185fe3A4e36079818Ba1d12705A9B6898997040xa60AdD2af71a4f50b3F94509E71a1e9DbDeA5dDa1901401unidade680027</v>
      </c>
      <c r="D301" s="13" t="s">
        <v>363</v>
      </c>
      <c r="E301" s="8" t="s">
        <v>763</v>
      </c>
      <c r="F301" s="8">
        <f t="shared" si="31"/>
        <v>0</v>
      </c>
      <c r="G301" s="8">
        <f t="shared" si="31"/>
        <v>0</v>
      </c>
      <c r="H301" s="8">
        <f t="shared" si="31"/>
        <v>0</v>
      </c>
      <c r="I301" s="8">
        <f t="shared" si="31"/>
        <v>3</v>
      </c>
      <c r="J301" s="8">
        <f t="shared" si="33"/>
        <v>0</v>
      </c>
      <c r="K301" s="15">
        <v>7.7546296233776957E-4</v>
      </c>
      <c r="M301" s="8">
        <f t="shared" si="29"/>
        <v>396</v>
      </c>
      <c r="N301" s="9" t="s">
        <v>63</v>
      </c>
      <c r="O301" s="9" t="s">
        <v>16</v>
      </c>
      <c r="P301" s="9">
        <v>1901</v>
      </c>
      <c r="Q301" s="9">
        <v>401</v>
      </c>
      <c r="R301" s="8" t="s">
        <v>17</v>
      </c>
      <c r="S301" s="11">
        <v>68</v>
      </c>
      <c r="T301" s="10">
        <v>0.27</v>
      </c>
    </row>
    <row r="302" spans="1:20" x14ac:dyDescent="0.3">
      <c r="A302" s="7">
        <f t="shared" si="30"/>
        <v>297</v>
      </c>
      <c r="B302" s="8">
        <v>409</v>
      </c>
      <c r="C302" s="9" t="str">
        <f t="shared" si="32"/>
        <v>3970x85185fe3A4e36079818Ba1d12705A9B6898997040xa60AdD2af71a4f50b3F94509E71a1e9DbDeA5dDa1697455unidade2090027</v>
      </c>
      <c r="D302" s="13" t="s">
        <v>364</v>
      </c>
      <c r="E302" s="8" t="s">
        <v>764</v>
      </c>
      <c r="F302" s="8">
        <f t="shared" si="31"/>
        <v>0</v>
      </c>
      <c r="G302" s="8">
        <f t="shared" si="31"/>
        <v>0</v>
      </c>
      <c r="H302" s="8">
        <f t="shared" si="31"/>
        <v>0</v>
      </c>
      <c r="I302" s="8">
        <f t="shared" si="31"/>
        <v>5</v>
      </c>
      <c r="J302" s="8">
        <f t="shared" si="33"/>
        <v>0</v>
      </c>
      <c r="K302" s="15">
        <v>8.1018515629693866E-5</v>
      </c>
      <c r="M302" s="8">
        <f t="shared" si="29"/>
        <v>397</v>
      </c>
      <c r="N302" s="9" t="s">
        <v>63</v>
      </c>
      <c r="O302" s="9" t="s">
        <v>16</v>
      </c>
      <c r="P302" s="9">
        <v>1697</v>
      </c>
      <c r="Q302" s="9">
        <v>455</v>
      </c>
      <c r="R302" s="8" t="s">
        <v>17</v>
      </c>
      <c r="S302" s="11">
        <v>209</v>
      </c>
      <c r="T302" s="10">
        <v>0.27</v>
      </c>
    </row>
    <row r="303" spans="1:20" x14ac:dyDescent="0.3">
      <c r="A303" s="7">
        <f t="shared" si="30"/>
        <v>298</v>
      </c>
      <c r="B303" s="8">
        <v>505</v>
      </c>
      <c r="C303" s="9" t="str">
        <f t="shared" si="32"/>
        <v>3980x85185fe3A4e36079818Ba1d12705A9B6898997040xa60AdD2af71a4f50b3F94509E71a1e9DbDeA5dDa1492466unidade1730027</v>
      </c>
      <c r="D303" s="13" t="s">
        <v>365</v>
      </c>
      <c r="E303" s="8" t="s">
        <v>765</v>
      </c>
      <c r="F303" s="8">
        <f t="shared" si="31"/>
        <v>0</v>
      </c>
      <c r="G303" s="8">
        <f t="shared" si="31"/>
        <v>0</v>
      </c>
      <c r="H303" s="8">
        <f t="shared" si="31"/>
        <v>0</v>
      </c>
      <c r="I303" s="8">
        <f t="shared" si="31"/>
        <v>6</v>
      </c>
      <c r="J303" s="8">
        <f t="shared" si="33"/>
        <v>0</v>
      </c>
      <c r="K303" s="15">
        <v>1.0416666918899864E-4</v>
      </c>
      <c r="M303" s="8">
        <f t="shared" si="29"/>
        <v>398</v>
      </c>
      <c r="N303" s="9" t="s">
        <v>63</v>
      </c>
      <c r="O303" s="9" t="s">
        <v>16</v>
      </c>
      <c r="P303" s="9">
        <v>1492</v>
      </c>
      <c r="Q303" s="9">
        <v>466</v>
      </c>
      <c r="R303" s="8" t="s">
        <v>17</v>
      </c>
      <c r="S303" s="11">
        <v>173</v>
      </c>
      <c r="T303" s="10">
        <v>0.27</v>
      </c>
    </row>
    <row r="304" spans="1:20" x14ac:dyDescent="0.3">
      <c r="A304" s="7">
        <f t="shared" si="30"/>
        <v>299</v>
      </c>
      <c r="B304" s="8">
        <v>1031</v>
      </c>
      <c r="C304" s="9" t="str">
        <f t="shared" si="32"/>
        <v>3990x85185fe3A4e36079818Ba1d12705A9B6898997040xa60AdD2af71a4f50b3F94509E71a1e9DbDeA5dDa1261232unidade2210027</v>
      </c>
      <c r="D304" s="13" t="s">
        <v>366</v>
      </c>
      <c r="E304" s="8" t="s">
        <v>766</v>
      </c>
      <c r="F304" s="8">
        <f t="shared" si="31"/>
        <v>0</v>
      </c>
      <c r="G304" s="8">
        <f t="shared" si="31"/>
        <v>0</v>
      </c>
      <c r="H304" s="8">
        <f t="shared" si="31"/>
        <v>0</v>
      </c>
      <c r="I304" s="8">
        <f t="shared" si="31"/>
        <v>1</v>
      </c>
      <c r="J304" s="8">
        <f t="shared" si="33"/>
        <v>0</v>
      </c>
      <c r="K304" s="15">
        <v>2.0833333110203966E-4</v>
      </c>
      <c r="M304" s="8">
        <f t="shared" si="29"/>
        <v>399</v>
      </c>
      <c r="N304" s="9" t="s">
        <v>63</v>
      </c>
      <c r="O304" s="9" t="s">
        <v>16</v>
      </c>
      <c r="P304" s="9">
        <v>1261</v>
      </c>
      <c r="Q304" s="9">
        <v>232</v>
      </c>
      <c r="R304" s="8" t="s">
        <v>17</v>
      </c>
      <c r="S304" s="11">
        <v>221</v>
      </c>
      <c r="T304" s="10">
        <v>0.27</v>
      </c>
    </row>
    <row r="305" spans="1:20" x14ac:dyDescent="0.3">
      <c r="A305" s="7">
        <f t="shared" si="30"/>
        <v>300</v>
      </c>
      <c r="B305" s="8">
        <v>1520</v>
      </c>
      <c r="C305" s="9" t="str">
        <f t="shared" si="32"/>
        <v>4000x85185fe3A4e36079818Ba1d12705A9B6898997040xa60AdD2af71a4f50b3F94509E71a1e9DbDeA5dDa1943467unidade1160027</v>
      </c>
      <c r="D305" s="13" t="s">
        <v>367</v>
      </c>
      <c r="E305" s="8" t="s">
        <v>767</v>
      </c>
      <c r="F305" s="8">
        <f t="shared" si="31"/>
        <v>0</v>
      </c>
      <c r="G305" s="8">
        <f t="shared" si="31"/>
        <v>0</v>
      </c>
      <c r="H305" s="8">
        <f t="shared" si="31"/>
        <v>0</v>
      </c>
      <c r="I305" s="8">
        <f t="shared" si="31"/>
        <v>1</v>
      </c>
      <c r="J305" s="8">
        <f t="shared" si="33"/>
        <v>0</v>
      </c>
      <c r="K305" s="15">
        <v>3.2407407707069069E-4</v>
      </c>
      <c r="M305" s="8">
        <f t="shared" si="29"/>
        <v>400</v>
      </c>
      <c r="N305" s="9" t="s">
        <v>63</v>
      </c>
      <c r="O305" s="9" t="s">
        <v>16</v>
      </c>
      <c r="P305" s="9">
        <v>1943</v>
      </c>
      <c r="Q305" s="9">
        <v>467</v>
      </c>
      <c r="R305" s="8" t="s">
        <v>17</v>
      </c>
      <c r="S305" s="11">
        <v>116</v>
      </c>
      <c r="T305" s="10">
        <v>0.27</v>
      </c>
    </row>
    <row r="306" spans="1:20" x14ac:dyDescent="0.3">
      <c r="A306" s="7">
        <f t="shared" si="30"/>
        <v>301</v>
      </c>
      <c r="B306" s="8">
        <v>338</v>
      </c>
      <c r="C306" s="9" t="str">
        <f t="shared" si="32"/>
        <v>4010x85185fe3A4e36079818Ba1d12705A9B6898997040xa60AdD2af71a4f50b3F94509E71a1e9DbDeA5dDa1766163unidade780027</v>
      </c>
      <c r="D306" s="13" t="s">
        <v>368</v>
      </c>
      <c r="E306" s="8" t="s">
        <v>768</v>
      </c>
      <c r="F306" s="8">
        <f t="shared" si="31"/>
        <v>0</v>
      </c>
      <c r="G306" s="8">
        <f t="shared" si="31"/>
        <v>0</v>
      </c>
      <c r="H306" s="8">
        <f t="shared" si="31"/>
        <v>0</v>
      </c>
      <c r="I306" s="8">
        <f t="shared" si="31"/>
        <v>1</v>
      </c>
      <c r="J306" s="8">
        <f t="shared" si="33"/>
        <v>0</v>
      </c>
      <c r="K306" s="15">
        <v>6.9444446125999093E-5</v>
      </c>
      <c r="M306" s="8">
        <f t="shared" si="29"/>
        <v>401</v>
      </c>
      <c r="N306" s="9" t="s">
        <v>63</v>
      </c>
      <c r="O306" s="9" t="s">
        <v>16</v>
      </c>
      <c r="P306" s="9">
        <v>1766</v>
      </c>
      <c r="Q306" s="9">
        <v>163</v>
      </c>
      <c r="R306" s="8" t="s">
        <v>17</v>
      </c>
      <c r="S306" s="11">
        <v>78</v>
      </c>
      <c r="T306" s="10">
        <v>0.27</v>
      </c>
    </row>
    <row r="307" spans="1:20" x14ac:dyDescent="0.3">
      <c r="A307" s="7">
        <f t="shared" si="30"/>
        <v>302</v>
      </c>
      <c r="B307" s="8">
        <v>642</v>
      </c>
      <c r="C307" s="9" t="str">
        <f t="shared" si="32"/>
        <v>4020x85185fe3A4e36079818Ba1d12705A9B6898997040xa60AdD2af71a4f50b3F94509E71a1e9DbDeA5dDa1777259unidade1090027</v>
      </c>
      <c r="D307" s="13" t="s">
        <v>369</v>
      </c>
      <c r="E307" s="8" t="s">
        <v>769</v>
      </c>
      <c r="F307" s="8">
        <f t="shared" si="31"/>
        <v>0</v>
      </c>
      <c r="G307" s="8">
        <f t="shared" si="31"/>
        <v>0</v>
      </c>
      <c r="H307" s="8">
        <f t="shared" si="31"/>
        <v>0</v>
      </c>
      <c r="I307" s="8">
        <f t="shared" si="31"/>
        <v>5</v>
      </c>
      <c r="J307" s="8">
        <f t="shared" si="33"/>
        <v>0</v>
      </c>
      <c r="K307" s="15">
        <v>1.3888888497604057E-4</v>
      </c>
      <c r="M307" s="8">
        <f t="shared" si="29"/>
        <v>402</v>
      </c>
      <c r="N307" s="9" t="s">
        <v>63</v>
      </c>
      <c r="O307" s="9" t="s">
        <v>16</v>
      </c>
      <c r="P307" s="9">
        <v>1777</v>
      </c>
      <c r="Q307" s="9">
        <v>259</v>
      </c>
      <c r="R307" s="8" t="s">
        <v>17</v>
      </c>
      <c r="S307" s="11">
        <v>109</v>
      </c>
      <c r="T307" s="10">
        <v>0.27</v>
      </c>
    </row>
    <row r="308" spans="1:20" x14ac:dyDescent="0.3">
      <c r="A308" s="7">
        <f t="shared" si="30"/>
        <v>303</v>
      </c>
      <c r="B308" s="8">
        <v>3835</v>
      </c>
      <c r="C308" s="9" t="str">
        <f t="shared" si="32"/>
        <v>4030x85185fe3A4e36079818Ba1d12705A9B6898997040xa60AdD2af71a4f50b3F94509E71a1e9DbDeA5dDa1762329unidade1250027</v>
      </c>
      <c r="D308" s="13" t="s">
        <v>370</v>
      </c>
      <c r="E308" s="8" t="s">
        <v>770</v>
      </c>
      <c r="F308" s="8">
        <f t="shared" si="31"/>
        <v>0</v>
      </c>
      <c r="G308" s="8">
        <f t="shared" si="31"/>
        <v>0</v>
      </c>
      <c r="H308" s="8">
        <f t="shared" si="31"/>
        <v>0</v>
      </c>
      <c r="I308" s="8">
        <f t="shared" si="31"/>
        <v>6</v>
      </c>
      <c r="J308" s="8">
        <f t="shared" si="33"/>
        <v>0</v>
      </c>
      <c r="K308" s="15">
        <v>7.8703703911742195E-4</v>
      </c>
      <c r="M308" s="8">
        <f t="shared" si="29"/>
        <v>403</v>
      </c>
      <c r="N308" s="9" t="s">
        <v>63</v>
      </c>
      <c r="O308" s="9" t="s">
        <v>16</v>
      </c>
      <c r="P308" s="9">
        <v>1762</v>
      </c>
      <c r="Q308" s="9">
        <v>329</v>
      </c>
      <c r="R308" s="8" t="s">
        <v>17</v>
      </c>
      <c r="S308" s="11">
        <v>125</v>
      </c>
      <c r="T308" s="10">
        <v>0.27</v>
      </c>
    </row>
    <row r="309" spans="1:20" x14ac:dyDescent="0.3">
      <c r="A309" s="7">
        <f t="shared" si="30"/>
        <v>304</v>
      </c>
      <c r="B309" s="8">
        <v>1167</v>
      </c>
      <c r="C309" s="9" t="str">
        <f t="shared" si="32"/>
        <v>4040x85185fe3A4e36079818Ba1d12705A9B6898997040xa60AdD2af71a4f50b3F94509E71a1e9DbDeA5dDa1632243unidade1730027</v>
      </c>
      <c r="D309" s="13" t="s">
        <v>371</v>
      </c>
      <c r="E309" s="8" t="s">
        <v>771</v>
      </c>
      <c r="F309" s="8">
        <f t="shared" si="31"/>
        <v>0</v>
      </c>
      <c r="G309" s="8">
        <f t="shared" si="31"/>
        <v>0</v>
      </c>
      <c r="H309" s="8">
        <f t="shared" si="31"/>
        <v>0</v>
      </c>
      <c r="I309" s="8">
        <f t="shared" si="31"/>
        <v>0</v>
      </c>
      <c r="J309" s="8">
        <f t="shared" si="33"/>
        <v>0</v>
      </c>
      <c r="K309" s="15">
        <v>2.4305555416503921E-4</v>
      </c>
      <c r="M309" s="8">
        <f t="shared" si="29"/>
        <v>404</v>
      </c>
      <c r="N309" s="9" t="s">
        <v>63</v>
      </c>
      <c r="O309" s="9" t="s">
        <v>16</v>
      </c>
      <c r="P309" s="9">
        <v>1632</v>
      </c>
      <c r="Q309" s="9">
        <v>243</v>
      </c>
      <c r="R309" s="8" t="s">
        <v>17</v>
      </c>
      <c r="S309" s="11">
        <v>173</v>
      </c>
      <c r="T309" s="10">
        <v>0.27</v>
      </c>
    </row>
    <row r="310" spans="1:20" x14ac:dyDescent="0.3">
      <c r="A310" s="7">
        <f t="shared" si="30"/>
        <v>305</v>
      </c>
      <c r="B310" s="8">
        <v>714</v>
      </c>
      <c r="C310" s="9" t="str">
        <f t="shared" si="32"/>
        <v>4050x85185fe3A4e36079818Ba1d12705A9B6898997040xa60AdD2af71a4f50b3F94509E71a1e9DbDeA5dDa1828493unidade1130027</v>
      </c>
      <c r="D310" s="13" t="s">
        <v>372</v>
      </c>
      <c r="E310" s="8" t="s">
        <v>772</v>
      </c>
      <c r="F310" s="8">
        <f t="shared" si="31"/>
        <v>0</v>
      </c>
      <c r="G310" s="8">
        <f t="shared" si="31"/>
        <v>0</v>
      </c>
      <c r="H310" s="8">
        <f t="shared" si="31"/>
        <v>0</v>
      </c>
      <c r="I310" s="8">
        <f t="shared" si="31"/>
        <v>5</v>
      </c>
      <c r="J310" s="8">
        <f t="shared" si="33"/>
        <v>0</v>
      </c>
      <c r="K310" s="15">
        <v>1.5046296175569296E-4</v>
      </c>
      <c r="M310" s="8">
        <f t="shared" si="29"/>
        <v>405</v>
      </c>
      <c r="N310" s="9" t="s">
        <v>63</v>
      </c>
      <c r="O310" s="9" t="s">
        <v>16</v>
      </c>
      <c r="P310" s="9">
        <v>1828</v>
      </c>
      <c r="Q310" s="9">
        <v>493</v>
      </c>
      <c r="R310" s="8" t="s">
        <v>17</v>
      </c>
      <c r="S310" s="11">
        <v>113</v>
      </c>
      <c r="T310" s="10">
        <v>0.27</v>
      </c>
    </row>
    <row r="311" spans="1:20" x14ac:dyDescent="0.3">
      <c r="A311" s="7">
        <f t="shared" si="30"/>
        <v>306</v>
      </c>
      <c r="B311" s="8">
        <v>7414</v>
      </c>
      <c r="C311" s="9" t="str">
        <f t="shared" si="32"/>
        <v>4060x85185fe3A4e36079818Ba1d12705A9B6898997040xa60AdD2af71a4f50b3F94509E71a1e9DbDeA5dDa1780322unidade540027</v>
      </c>
      <c r="D311" s="13" t="s">
        <v>373</v>
      </c>
      <c r="E311" s="8" t="s">
        <v>773</v>
      </c>
      <c r="F311" s="8">
        <f t="shared" si="31"/>
        <v>0</v>
      </c>
      <c r="G311" s="8">
        <f t="shared" si="31"/>
        <v>0</v>
      </c>
      <c r="H311" s="8">
        <f t="shared" si="31"/>
        <v>0</v>
      </c>
      <c r="I311" s="8">
        <f t="shared" si="31"/>
        <v>0</v>
      </c>
      <c r="J311" s="8">
        <f t="shared" si="33"/>
        <v>0</v>
      </c>
      <c r="K311" s="15">
        <v>1.5162037088884972E-3</v>
      </c>
      <c r="M311" s="8">
        <f t="shared" si="29"/>
        <v>406</v>
      </c>
      <c r="N311" s="9" t="s">
        <v>63</v>
      </c>
      <c r="O311" s="9" t="s">
        <v>16</v>
      </c>
      <c r="P311" s="9">
        <v>1780</v>
      </c>
      <c r="Q311" s="9">
        <v>322</v>
      </c>
      <c r="R311" s="8" t="s">
        <v>17</v>
      </c>
      <c r="S311" s="11">
        <v>54</v>
      </c>
      <c r="T311" s="10">
        <v>0.27</v>
      </c>
    </row>
    <row r="312" spans="1:20" x14ac:dyDescent="0.3">
      <c r="A312" s="7">
        <f t="shared" si="30"/>
        <v>307</v>
      </c>
      <c r="B312" s="8">
        <v>119</v>
      </c>
      <c r="C312" s="9" t="str">
        <f t="shared" si="32"/>
        <v>4070x85185fe3A4e36079818Ba1d12705A9B6898997040xa60AdD2af71a4f50b3F94509E71a1e9DbDeA5dDa1812119unidade2490027</v>
      </c>
      <c r="D312" s="13" t="s">
        <v>374</v>
      </c>
      <c r="E312" s="8" t="s">
        <v>774</v>
      </c>
      <c r="F312" s="8">
        <f t="shared" si="31"/>
        <v>0</v>
      </c>
      <c r="G312" s="8">
        <f t="shared" si="31"/>
        <v>0</v>
      </c>
      <c r="H312" s="8">
        <f t="shared" si="31"/>
        <v>0</v>
      </c>
      <c r="I312" s="8">
        <f t="shared" si="31"/>
        <v>4</v>
      </c>
      <c r="J312" s="8">
        <f t="shared" si="33"/>
        <v>0</v>
      </c>
      <c r="K312" s="15">
        <v>2.314814628334716E-5</v>
      </c>
      <c r="M312" s="8">
        <f t="shared" si="29"/>
        <v>407</v>
      </c>
      <c r="N312" s="9" t="s">
        <v>63</v>
      </c>
      <c r="O312" s="9" t="s">
        <v>16</v>
      </c>
      <c r="P312" s="9">
        <v>1812</v>
      </c>
      <c r="Q312" s="9">
        <v>119</v>
      </c>
      <c r="R312" s="8" t="s">
        <v>17</v>
      </c>
      <c r="S312" s="11">
        <v>249</v>
      </c>
      <c r="T312" s="10">
        <v>0.27</v>
      </c>
    </row>
    <row r="313" spans="1:20" x14ac:dyDescent="0.3">
      <c r="A313" s="7">
        <f t="shared" si="30"/>
        <v>308</v>
      </c>
      <c r="B313" s="8">
        <v>3091</v>
      </c>
      <c r="C313" s="9" t="str">
        <f t="shared" si="32"/>
        <v>4080x85185fe3A4e36079818Ba1d12705A9B6898997040xa60AdD2af71a4f50b3F94509E71a1e9DbDeA5dDa1531363unidade1210027</v>
      </c>
      <c r="D313" s="13" t="s">
        <v>375</v>
      </c>
      <c r="E313" s="8" t="s">
        <v>775</v>
      </c>
      <c r="F313" s="8">
        <f t="shared" si="31"/>
        <v>0</v>
      </c>
      <c r="G313" s="8">
        <f t="shared" si="31"/>
        <v>0</v>
      </c>
      <c r="H313" s="8">
        <f t="shared" si="31"/>
        <v>0</v>
      </c>
      <c r="I313" s="8">
        <f t="shared" si="31"/>
        <v>1</v>
      </c>
      <c r="J313" s="8">
        <f t="shared" si="33"/>
        <v>0</v>
      </c>
      <c r="K313" s="15">
        <v>6.4814814686542377E-4</v>
      </c>
      <c r="M313" s="8">
        <f t="shared" si="29"/>
        <v>408</v>
      </c>
      <c r="N313" s="9" t="s">
        <v>63</v>
      </c>
      <c r="O313" s="9" t="s">
        <v>16</v>
      </c>
      <c r="P313" s="9">
        <v>1531</v>
      </c>
      <c r="Q313" s="9">
        <v>363</v>
      </c>
      <c r="R313" s="8" t="s">
        <v>17</v>
      </c>
      <c r="S313" s="11">
        <v>121</v>
      </c>
      <c r="T313" s="10">
        <v>0.27</v>
      </c>
    </row>
    <row r="314" spans="1:20" x14ac:dyDescent="0.3">
      <c r="A314" s="7">
        <f t="shared" si="30"/>
        <v>309</v>
      </c>
      <c r="B314" s="8">
        <v>1875</v>
      </c>
      <c r="C314" s="9" t="str">
        <f t="shared" si="32"/>
        <v>4090x85185fe3A4e36079818Ba1d12705A9B6898997040xa60AdD2af71a4f50b3F94509E71a1e9DbDeA5dDa1817400unidade1010027</v>
      </c>
      <c r="D314" s="13" t="s">
        <v>376</v>
      </c>
      <c r="E314" s="8" t="s">
        <v>776</v>
      </c>
      <c r="F314" s="8">
        <f t="shared" si="31"/>
        <v>0</v>
      </c>
      <c r="G314" s="8">
        <f t="shared" si="31"/>
        <v>0</v>
      </c>
      <c r="H314" s="8">
        <f t="shared" si="31"/>
        <v>0</v>
      </c>
      <c r="I314" s="8">
        <f t="shared" si="31"/>
        <v>8</v>
      </c>
      <c r="J314" s="8">
        <f t="shared" si="33"/>
        <v>0</v>
      </c>
      <c r="K314" s="15">
        <v>3.819444464170374E-4</v>
      </c>
      <c r="M314" s="8">
        <f t="shared" si="29"/>
        <v>409</v>
      </c>
      <c r="N314" s="9" t="s">
        <v>63</v>
      </c>
      <c r="O314" s="9" t="s">
        <v>16</v>
      </c>
      <c r="P314" s="9">
        <v>1817</v>
      </c>
      <c r="Q314" s="9">
        <v>400</v>
      </c>
      <c r="R314" s="8" t="s">
        <v>17</v>
      </c>
      <c r="S314" s="11">
        <v>101</v>
      </c>
      <c r="T314" s="10">
        <v>0.27</v>
      </c>
    </row>
    <row r="315" spans="1:20" x14ac:dyDescent="0.3">
      <c r="A315" s="7">
        <f t="shared" si="30"/>
        <v>310</v>
      </c>
      <c r="B315" s="8">
        <v>5933</v>
      </c>
      <c r="C315" s="9" t="str">
        <f t="shared" si="32"/>
        <v>4100x85185fe3A4e36079818Ba1d12705A9B6898997040xa60AdD2af71a4f50b3F94509E71a1e9DbDeA5dDa1631144unidade1540027</v>
      </c>
      <c r="D315" s="13" t="s">
        <v>377</v>
      </c>
      <c r="E315" s="8" t="s">
        <v>777</v>
      </c>
      <c r="F315" s="8">
        <f t="shared" si="31"/>
        <v>0</v>
      </c>
      <c r="G315" s="8">
        <f t="shared" si="31"/>
        <v>0</v>
      </c>
      <c r="H315" s="8">
        <f t="shared" si="31"/>
        <v>0</v>
      </c>
      <c r="I315" s="8">
        <f t="shared" si="31"/>
        <v>2</v>
      </c>
      <c r="J315" s="8">
        <f t="shared" si="33"/>
        <v>0</v>
      </c>
      <c r="K315" s="15">
        <v>1.261574070667848E-3</v>
      </c>
      <c r="M315" s="8">
        <f t="shared" si="29"/>
        <v>410</v>
      </c>
      <c r="N315" s="9" t="s">
        <v>63</v>
      </c>
      <c r="O315" s="9" t="s">
        <v>16</v>
      </c>
      <c r="P315" s="9">
        <v>1631</v>
      </c>
      <c r="Q315" s="9">
        <v>144</v>
      </c>
      <c r="R315" s="8" t="s">
        <v>17</v>
      </c>
      <c r="S315" s="11">
        <v>154</v>
      </c>
      <c r="T315" s="10">
        <v>0.27</v>
      </c>
    </row>
    <row r="316" spans="1:20" x14ac:dyDescent="0.3">
      <c r="A316" s="7">
        <f t="shared" si="30"/>
        <v>311</v>
      </c>
      <c r="B316" s="8">
        <v>615</v>
      </c>
      <c r="C316" s="9" t="str">
        <f t="shared" si="32"/>
        <v>4110x85185fe3A4e36079818Ba1d12705A9B6898997040xa60AdD2af71a4f50b3F94509E71a1e9DbDeA5dDa1361325unidade1880027</v>
      </c>
      <c r="D316" s="13" t="s">
        <v>378</v>
      </c>
      <c r="E316" s="8" t="s">
        <v>778</v>
      </c>
      <c r="F316" s="8">
        <f t="shared" si="31"/>
        <v>0</v>
      </c>
      <c r="G316" s="8">
        <f t="shared" si="31"/>
        <v>0</v>
      </c>
      <c r="H316" s="8">
        <f t="shared" si="31"/>
        <v>0</v>
      </c>
      <c r="I316" s="8">
        <f t="shared" si="31"/>
        <v>3</v>
      </c>
      <c r="J316" s="8">
        <f t="shared" si="33"/>
        <v>0</v>
      </c>
      <c r="K316" s="15">
        <v>1.1574073869269341E-4</v>
      </c>
      <c r="M316" s="8">
        <f t="shared" si="29"/>
        <v>411</v>
      </c>
      <c r="N316" s="9" t="s">
        <v>63</v>
      </c>
      <c r="O316" s="9" t="s">
        <v>16</v>
      </c>
      <c r="P316" s="9">
        <v>1361</v>
      </c>
      <c r="Q316" s="9">
        <v>325</v>
      </c>
      <c r="R316" s="8" t="s">
        <v>17</v>
      </c>
      <c r="S316" s="11">
        <v>188</v>
      </c>
      <c r="T316" s="10">
        <v>0.27</v>
      </c>
    </row>
    <row r="317" spans="1:20" x14ac:dyDescent="0.3">
      <c r="A317" s="7">
        <f t="shared" si="30"/>
        <v>312</v>
      </c>
      <c r="B317" s="8">
        <v>13547</v>
      </c>
      <c r="C317" s="9" t="str">
        <f t="shared" si="32"/>
        <v>4120x85185fe3A4e36079818Ba1d12705A9B6898997040xa60AdD2af71a4f50b3F94509E71a1e9DbDeA5dDa1111142unidade2190027</v>
      </c>
      <c r="D317" s="13" t="s">
        <v>379</v>
      </c>
      <c r="E317" s="8" t="s">
        <v>779</v>
      </c>
      <c r="F317" s="8">
        <f t="shared" si="31"/>
        <v>0</v>
      </c>
      <c r="G317" s="8">
        <f t="shared" si="31"/>
        <v>0</v>
      </c>
      <c r="H317" s="8">
        <f t="shared" si="31"/>
        <v>0</v>
      </c>
      <c r="I317" s="8">
        <f t="shared" si="31"/>
        <v>1</v>
      </c>
      <c r="J317" s="8">
        <f t="shared" si="33"/>
        <v>0</v>
      </c>
      <c r="K317" s="15">
        <v>2.8125000026193447E-3</v>
      </c>
      <c r="M317" s="8">
        <f t="shared" si="29"/>
        <v>412</v>
      </c>
      <c r="N317" s="9" t="s">
        <v>63</v>
      </c>
      <c r="O317" s="9" t="s">
        <v>16</v>
      </c>
      <c r="P317" s="9">
        <v>1111</v>
      </c>
      <c r="Q317" s="9">
        <v>142</v>
      </c>
      <c r="R317" s="8" t="s">
        <v>17</v>
      </c>
      <c r="S317" s="11">
        <v>219</v>
      </c>
      <c r="T317" s="10">
        <v>0.27</v>
      </c>
    </row>
    <row r="318" spans="1:20" x14ac:dyDescent="0.3">
      <c r="A318" s="7">
        <f t="shared" si="30"/>
        <v>313</v>
      </c>
      <c r="B318" s="8">
        <v>2150</v>
      </c>
      <c r="C318" s="9" t="str">
        <f t="shared" si="32"/>
        <v>4130x85185fe3A4e36079818Ba1d12705A9B6898997040xa60AdD2af71a4f50b3F94509E71a1e9DbDeA5dDa1885414unidade1760027</v>
      </c>
      <c r="D318" s="13" t="s">
        <v>380</v>
      </c>
      <c r="E318" s="8" t="s">
        <v>780</v>
      </c>
      <c r="F318" s="8">
        <f t="shared" si="31"/>
        <v>0</v>
      </c>
      <c r="G318" s="8">
        <f t="shared" si="31"/>
        <v>0</v>
      </c>
      <c r="H318" s="8">
        <f t="shared" si="31"/>
        <v>0</v>
      </c>
      <c r="I318" s="8">
        <f t="shared" si="31"/>
        <v>5</v>
      </c>
      <c r="J318" s="8">
        <f t="shared" si="33"/>
        <v>0</v>
      </c>
      <c r="K318" s="15">
        <v>4.398148157633841E-4</v>
      </c>
      <c r="M318" s="8">
        <f t="shared" si="29"/>
        <v>413</v>
      </c>
      <c r="N318" s="9" t="s">
        <v>63</v>
      </c>
      <c r="O318" s="9" t="s">
        <v>16</v>
      </c>
      <c r="P318" s="9">
        <v>1885</v>
      </c>
      <c r="Q318" s="9">
        <v>414</v>
      </c>
      <c r="R318" s="8" t="s">
        <v>17</v>
      </c>
      <c r="S318" s="11">
        <v>176</v>
      </c>
      <c r="T318" s="10">
        <v>0.27</v>
      </c>
    </row>
    <row r="319" spans="1:20" x14ac:dyDescent="0.3">
      <c r="A319" s="7">
        <f t="shared" si="30"/>
        <v>314</v>
      </c>
      <c r="B319" s="8">
        <v>8028</v>
      </c>
      <c r="C319" s="9" t="str">
        <f t="shared" si="32"/>
        <v>4140x85185fe3A4e36079818Ba1d12705A9B6898997040xa60AdD2af71a4f50b3F94509E71a1e9DbDeA5dDa1878143unidade1890027</v>
      </c>
      <c r="D319" s="13" t="s">
        <v>381</v>
      </c>
      <c r="E319" s="8" t="s">
        <v>781</v>
      </c>
      <c r="F319" s="8">
        <f t="shared" si="31"/>
        <v>0</v>
      </c>
      <c r="G319" s="8">
        <f t="shared" si="31"/>
        <v>0</v>
      </c>
      <c r="H319" s="8">
        <f t="shared" si="31"/>
        <v>0</v>
      </c>
      <c r="I319" s="8">
        <f t="shared" si="31"/>
        <v>1</v>
      </c>
      <c r="J319" s="8">
        <f t="shared" si="33"/>
        <v>0</v>
      </c>
      <c r="K319" s="15">
        <v>1.6550925865885802E-3</v>
      </c>
      <c r="M319" s="8">
        <f t="shared" si="29"/>
        <v>414</v>
      </c>
      <c r="N319" s="9" t="s">
        <v>63</v>
      </c>
      <c r="O319" s="9" t="s">
        <v>16</v>
      </c>
      <c r="P319" s="9">
        <v>1878</v>
      </c>
      <c r="Q319" s="9">
        <v>143</v>
      </c>
      <c r="R319" s="8" t="s">
        <v>17</v>
      </c>
      <c r="S319" s="11">
        <v>189</v>
      </c>
      <c r="T319" s="10">
        <v>0.27</v>
      </c>
    </row>
    <row r="320" spans="1:20" x14ac:dyDescent="0.3">
      <c r="A320" s="7">
        <f t="shared" si="30"/>
        <v>315</v>
      </c>
      <c r="B320" s="8">
        <v>62</v>
      </c>
      <c r="C320" s="9" t="str">
        <f t="shared" si="32"/>
        <v>4150x85185fe3A4e36079818Ba1d12705A9B6898997040xa60AdD2af71a4f50b3F94509E71a1e9DbDeA5dDa1606221unidade1410027</v>
      </c>
      <c r="D320" s="13" t="s">
        <v>382</v>
      </c>
      <c r="E320" s="8" t="s">
        <v>782</v>
      </c>
      <c r="F320" s="8">
        <f t="shared" si="31"/>
        <v>0</v>
      </c>
      <c r="G320" s="8">
        <f t="shared" si="31"/>
        <v>0</v>
      </c>
      <c r="H320" s="8">
        <f t="shared" si="31"/>
        <v>0</v>
      </c>
      <c r="I320" s="8">
        <f t="shared" si="31"/>
        <v>9</v>
      </c>
      <c r="J320" s="8">
        <f t="shared" si="33"/>
        <v>0</v>
      </c>
      <c r="K320" s="15">
        <v>1.1574076779652387E-5</v>
      </c>
      <c r="M320" s="8">
        <f t="shared" si="29"/>
        <v>415</v>
      </c>
      <c r="N320" s="9" t="s">
        <v>63</v>
      </c>
      <c r="O320" s="9" t="s">
        <v>16</v>
      </c>
      <c r="P320" s="9">
        <v>1606</v>
      </c>
      <c r="Q320" s="9">
        <v>221</v>
      </c>
      <c r="R320" s="8" t="s">
        <v>17</v>
      </c>
      <c r="S320" s="11">
        <v>141</v>
      </c>
      <c r="T320" s="10">
        <v>0.27</v>
      </c>
    </row>
    <row r="321" spans="1:20" x14ac:dyDescent="0.3">
      <c r="A321" s="7">
        <f t="shared" si="30"/>
        <v>316</v>
      </c>
      <c r="B321" s="8">
        <v>4880</v>
      </c>
      <c r="C321" s="9" t="str">
        <f t="shared" si="32"/>
        <v>4160x85185fe3A4e36079818Ba1d12705A9B6898997040xa60AdD2af71a4f50b3F94509E71a1e9DbDeA5dDa1147454unidade1840027</v>
      </c>
      <c r="D321" s="13" t="s">
        <v>383</v>
      </c>
      <c r="E321" s="8" t="s">
        <v>783</v>
      </c>
      <c r="F321" s="8">
        <f t="shared" si="31"/>
        <v>0</v>
      </c>
      <c r="G321" s="8">
        <f t="shared" si="31"/>
        <v>0</v>
      </c>
      <c r="H321" s="8">
        <f t="shared" si="31"/>
        <v>0</v>
      </c>
      <c r="I321" s="8">
        <f t="shared" si="31"/>
        <v>7</v>
      </c>
      <c r="J321" s="8">
        <f t="shared" si="33"/>
        <v>0</v>
      </c>
      <c r="K321" s="15">
        <v>1.006944446999114E-3</v>
      </c>
      <c r="M321" s="8">
        <f t="shared" si="29"/>
        <v>416</v>
      </c>
      <c r="N321" s="9" t="s">
        <v>63</v>
      </c>
      <c r="O321" s="9" t="s">
        <v>16</v>
      </c>
      <c r="P321" s="9">
        <v>1147</v>
      </c>
      <c r="Q321" s="9">
        <v>454</v>
      </c>
      <c r="R321" s="8" t="s">
        <v>17</v>
      </c>
      <c r="S321" s="11">
        <v>184</v>
      </c>
      <c r="T321" s="10">
        <v>0.27</v>
      </c>
    </row>
    <row r="322" spans="1:20" x14ac:dyDescent="0.3">
      <c r="A322" s="7">
        <f t="shared" si="30"/>
        <v>317</v>
      </c>
      <c r="B322" s="8">
        <v>1379</v>
      </c>
      <c r="C322" s="9" t="str">
        <f t="shared" si="32"/>
        <v>4170x85185fe3A4e36079818Ba1d12705A9B6898997040xa60AdD2af71a4f50b3F94509E71a1e9DbDeA5dDa1277359unidade1080027</v>
      </c>
      <c r="D322" s="13" t="s">
        <v>384</v>
      </c>
      <c r="E322" s="8" t="s">
        <v>784</v>
      </c>
      <c r="F322" s="8">
        <f t="shared" si="31"/>
        <v>0</v>
      </c>
      <c r="G322" s="8">
        <f t="shared" si="31"/>
        <v>0</v>
      </c>
      <c r="H322" s="8">
        <f t="shared" si="31"/>
        <v>0</v>
      </c>
      <c r="I322" s="8">
        <f t="shared" si="31"/>
        <v>3</v>
      </c>
      <c r="J322" s="8">
        <f t="shared" si="33"/>
        <v>0</v>
      </c>
      <c r="K322" s="15">
        <v>2.7777777722803876E-4</v>
      </c>
      <c r="M322" s="8">
        <f t="shared" si="29"/>
        <v>417</v>
      </c>
      <c r="N322" s="9" t="s">
        <v>63</v>
      </c>
      <c r="O322" s="9" t="s">
        <v>16</v>
      </c>
      <c r="P322" s="9">
        <v>1277</v>
      </c>
      <c r="Q322" s="9">
        <v>359</v>
      </c>
      <c r="R322" s="8" t="s">
        <v>17</v>
      </c>
      <c r="S322" s="11">
        <v>108</v>
      </c>
      <c r="T322" s="10">
        <v>0.27</v>
      </c>
    </row>
    <row r="323" spans="1:20" x14ac:dyDescent="0.3">
      <c r="A323" s="7">
        <f t="shared" si="30"/>
        <v>318</v>
      </c>
      <c r="B323" s="8">
        <v>5729</v>
      </c>
      <c r="C323" s="9" t="str">
        <f t="shared" si="32"/>
        <v>4180x85185fe3A4e36079818Ba1d12705A9B6898997040xa60AdD2af71a4f50b3F94509E71a1e9DbDeA5dDa1972143unidade1860027</v>
      </c>
      <c r="D323" s="13" t="s">
        <v>385</v>
      </c>
      <c r="E323" s="8" t="s">
        <v>785</v>
      </c>
      <c r="F323" s="8">
        <f t="shared" si="31"/>
        <v>0</v>
      </c>
      <c r="G323" s="8">
        <f t="shared" si="31"/>
        <v>0</v>
      </c>
      <c r="H323" s="8">
        <f t="shared" si="31"/>
        <v>0</v>
      </c>
      <c r="I323" s="8">
        <f t="shared" si="31"/>
        <v>5</v>
      </c>
      <c r="J323" s="8">
        <f t="shared" si="33"/>
        <v>0</v>
      </c>
      <c r="K323" s="15">
        <v>1.1805555550381541E-3</v>
      </c>
      <c r="M323" s="8">
        <f t="shared" si="29"/>
        <v>418</v>
      </c>
      <c r="N323" s="9" t="s">
        <v>63</v>
      </c>
      <c r="O323" s="9" t="s">
        <v>16</v>
      </c>
      <c r="P323" s="9">
        <v>1972</v>
      </c>
      <c r="Q323" s="9">
        <v>143</v>
      </c>
      <c r="R323" s="8" t="s">
        <v>17</v>
      </c>
      <c r="S323" s="11">
        <v>186</v>
      </c>
      <c r="T323" s="10">
        <v>0.27</v>
      </c>
    </row>
    <row r="324" spans="1:20" x14ac:dyDescent="0.3">
      <c r="A324" s="7">
        <f t="shared" si="30"/>
        <v>319</v>
      </c>
      <c r="B324" s="8">
        <v>5379</v>
      </c>
      <c r="C324" s="9" t="str">
        <f t="shared" si="32"/>
        <v>4190x85185fe3A4e36079818Ba1d12705A9B6898997040xa60AdD2af71a4f50b3F94509E71a1e9DbDeA5dDa1748241unidade2390027</v>
      </c>
      <c r="D324" s="13" t="s">
        <v>386</v>
      </c>
      <c r="E324" s="8" t="s">
        <v>786</v>
      </c>
      <c r="F324" s="8">
        <f t="shared" si="31"/>
        <v>0</v>
      </c>
      <c r="G324" s="8">
        <f t="shared" si="31"/>
        <v>0</v>
      </c>
      <c r="H324" s="8">
        <f t="shared" si="31"/>
        <v>0</v>
      </c>
      <c r="I324" s="8">
        <f t="shared" si="31"/>
        <v>2</v>
      </c>
      <c r="J324" s="8">
        <f t="shared" si="33"/>
        <v>0</v>
      </c>
      <c r="K324" s="15">
        <v>1.1226851856918074E-3</v>
      </c>
      <c r="M324" s="8">
        <f t="shared" si="29"/>
        <v>419</v>
      </c>
      <c r="N324" s="9" t="s">
        <v>63</v>
      </c>
      <c r="O324" s="9" t="s">
        <v>16</v>
      </c>
      <c r="P324" s="9">
        <v>1748</v>
      </c>
      <c r="Q324" s="9">
        <v>241</v>
      </c>
      <c r="R324" s="8" t="s">
        <v>17</v>
      </c>
      <c r="S324" s="11">
        <v>239</v>
      </c>
      <c r="T324" s="10">
        <v>0.27</v>
      </c>
    </row>
    <row r="325" spans="1:20" x14ac:dyDescent="0.3">
      <c r="A325" s="7">
        <f t="shared" si="30"/>
        <v>320</v>
      </c>
      <c r="B325" s="8">
        <v>4747</v>
      </c>
      <c r="C325" s="9" t="str">
        <f t="shared" si="32"/>
        <v>4200x85185fe3A4e36079818Ba1d12705A9B6898997040xa60AdD2af71a4f50b3F94509E71a1e9DbDeA5dDa1200312unidade1100027</v>
      </c>
      <c r="D325" s="13" t="s">
        <v>387</v>
      </c>
      <c r="E325" s="8" t="s">
        <v>787</v>
      </c>
      <c r="F325" s="8">
        <f t="shared" si="31"/>
        <v>0</v>
      </c>
      <c r="G325" s="8">
        <f t="shared" si="31"/>
        <v>0</v>
      </c>
      <c r="H325" s="8">
        <f t="shared" si="31"/>
        <v>0</v>
      </c>
      <c r="I325" s="8">
        <f t="shared" si="31"/>
        <v>6</v>
      </c>
      <c r="J325" s="8">
        <f t="shared" si="33"/>
        <v>0</v>
      </c>
      <c r="K325" s="15">
        <v>1.0185185165028088E-3</v>
      </c>
      <c r="M325" s="8">
        <f t="shared" si="29"/>
        <v>420</v>
      </c>
      <c r="N325" s="9" t="s">
        <v>63</v>
      </c>
      <c r="O325" s="9" t="s">
        <v>16</v>
      </c>
      <c r="P325" s="9">
        <v>1200</v>
      </c>
      <c r="Q325" s="9">
        <v>312</v>
      </c>
      <c r="R325" s="8" t="s">
        <v>17</v>
      </c>
      <c r="S325" s="11">
        <v>110</v>
      </c>
      <c r="T325" s="10">
        <v>0.27</v>
      </c>
    </row>
    <row r="326" spans="1:20" x14ac:dyDescent="0.3">
      <c r="A326" s="7">
        <f t="shared" si="30"/>
        <v>321</v>
      </c>
      <c r="B326" s="8">
        <v>7205</v>
      </c>
      <c r="C326" s="9" t="str">
        <f t="shared" si="32"/>
        <v>4210x85185fe3A4e36079818Ba1d12705A9B6898997040xa60AdD2af71a4f50b3F94509E71a1e9DbDeA5dDa1602353unidade1520027</v>
      </c>
      <c r="D326" s="13" t="s">
        <v>388</v>
      </c>
      <c r="E326" s="8" t="s">
        <v>788</v>
      </c>
      <c r="F326" s="8">
        <f t="shared" si="31"/>
        <v>0</v>
      </c>
      <c r="G326" s="8">
        <f t="shared" si="31"/>
        <v>0</v>
      </c>
      <c r="H326" s="8">
        <f t="shared" si="31"/>
        <v>0</v>
      </c>
      <c r="I326" s="8">
        <f t="shared" si="31"/>
        <v>1</v>
      </c>
      <c r="J326" s="8">
        <f t="shared" si="33"/>
        <v>0</v>
      </c>
      <c r="K326" s="15">
        <v>1.5162037016125396E-3</v>
      </c>
      <c r="M326" s="8">
        <f t="shared" ref="M326:M389" si="34">1+M325</f>
        <v>421</v>
      </c>
      <c r="N326" s="9" t="s">
        <v>63</v>
      </c>
      <c r="O326" s="9" t="s">
        <v>16</v>
      </c>
      <c r="P326" s="9">
        <v>1602</v>
      </c>
      <c r="Q326" s="9">
        <v>353</v>
      </c>
      <c r="R326" s="8" t="s">
        <v>17</v>
      </c>
      <c r="S326" s="11">
        <v>152</v>
      </c>
      <c r="T326" s="10">
        <v>0.27</v>
      </c>
    </row>
    <row r="327" spans="1:20" x14ac:dyDescent="0.3">
      <c r="A327" s="7">
        <f t="shared" ref="A327:A390" si="35">1+A326</f>
        <v>322</v>
      </c>
      <c r="B327" s="8">
        <v>8925</v>
      </c>
      <c r="C327" s="9" t="str">
        <f t="shared" si="32"/>
        <v>4220x85185fe3A4e36079818Ba1d12705A9B6898997040xa60AdD2af71a4f50b3F94509E71a1e9DbDeA5dDa1862454unidade2030027</v>
      </c>
      <c r="D327" s="13" t="s">
        <v>389</v>
      </c>
      <c r="E327" s="8" t="s">
        <v>789</v>
      </c>
      <c r="F327" s="8">
        <f t="shared" si="31"/>
        <v>0</v>
      </c>
      <c r="G327" s="8">
        <f t="shared" si="31"/>
        <v>0</v>
      </c>
      <c r="H327" s="8">
        <f t="shared" si="31"/>
        <v>0</v>
      </c>
      <c r="I327" s="8">
        <f t="shared" si="31"/>
        <v>1</v>
      </c>
      <c r="J327" s="8">
        <f t="shared" si="33"/>
        <v>0</v>
      </c>
      <c r="K327" s="15">
        <v>1.8634259249665774E-3</v>
      </c>
      <c r="M327" s="8">
        <f t="shared" si="34"/>
        <v>422</v>
      </c>
      <c r="N327" s="9" t="s">
        <v>63</v>
      </c>
      <c r="O327" s="9" t="s">
        <v>16</v>
      </c>
      <c r="P327" s="9">
        <v>1862</v>
      </c>
      <c r="Q327" s="9">
        <v>454</v>
      </c>
      <c r="R327" s="8" t="s">
        <v>17</v>
      </c>
      <c r="S327" s="11">
        <v>203</v>
      </c>
      <c r="T327" s="10">
        <v>0.27</v>
      </c>
    </row>
    <row r="328" spans="1:20" x14ac:dyDescent="0.3">
      <c r="A328" s="7">
        <f t="shared" si="35"/>
        <v>323</v>
      </c>
      <c r="B328" s="8">
        <v>4462</v>
      </c>
      <c r="C328" s="9" t="str">
        <f t="shared" si="32"/>
        <v>4230x85185fe3A4e36079818Ba1d12705A9B6898997040xa60AdD2af71a4f50b3F94509E71a1e9DbDeA5dDa1926253unidade2300027</v>
      </c>
      <c r="D328" s="13" t="s">
        <v>390</v>
      </c>
      <c r="E328" s="8" t="s">
        <v>790</v>
      </c>
      <c r="F328" s="8">
        <f t="shared" si="31"/>
        <v>0</v>
      </c>
      <c r="G328" s="8">
        <f t="shared" si="31"/>
        <v>0</v>
      </c>
      <c r="H328" s="8">
        <f t="shared" si="31"/>
        <v>0</v>
      </c>
      <c r="I328" s="8">
        <f t="shared" si="31"/>
        <v>1</v>
      </c>
      <c r="J328" s="8">
        <f t="shared" si="33"/>
        <v>0</v>
      </c>
      <c r="K328" s="15">
        <v>9.3750000087311491E-4</v>
      </c>
      <c r="M328" s="8">
        <f t="shared" si="34"/>
        <v>423</v>
      </c>
      <c r="N328" s="9" t="s">
        <v>63</v>
      </c>
      <c r="O328" s="9" t="s">
        <v>16</v>
      </c>
      <c r="P328" s="9">
        <v>1926</v>
      </c>
      <c r="Q328" s="9">
        <v>253</v>
      </c>
      <c r="R328" s="8" t="s">
        <v>17</v>
      </c>
      <c r="S328" s="11">
        <v>230</v>
      </c>
      <c r="T328" s="10">
        <v>0.27</v>
      </c>
    </row>
    <row r="329" spans="1:20" x14ac:dyDescent="0.3">
      <c r="A329" s="7">
        <f t="shared" si="35"/>
        <v>324</v>
      </c>
      <c r="B329" s="8">
        <v>767</v>
      </c>
      <c r="C329" s="9" t="str">
        <f t="shared" si="32"/>
        <v>4240x85185fe3A4e36079818Ba1d12705A9B6898997040xa60AdD2af71a4f50b3F94509E71a1e9DbDeA5dDa1546498unidade2450027</v>
      </c>
      <c r="D329" s="13" t="s">
        <v>391</v>
      </c>
      <c r="E329" s="8" t="s">
        <v>791</v>
      </c>
      <c r="F329" s="8">
        <f t="shared" si="31"/>
        <v>0</v>
      </c>
      <c r="G329" s="8">
        <f t="shared" si="31"/>
        <v>0</v>
      </c>
      <c r="H329" s="8">
        <f t="shared" si="31"/>
        <v>0</v>
      </c>
      <c r="I329" s="8">
        <f t="shared" si="31"/>
        <v>5</v>
      </c>
      <c r="J329" s="8">
        <f t="shared" si="33"/>
        <v>0</v>
      </c>
      <c r="K329" s="15">
        <v>1.6203703853534535E-4</v>
      </c>
      <c r="M329" s="8">
        <f t="shared" si="34"/>
        <v>424</v>
      </c>
      <c r="N329" s="9" t="s">
        <v>63</v>
      </c>
      <c r="O329" s="9" t="s">
        <v>16</v>
      </c>
      <c r="P329" s="9">
        <v>1546</v>
      </c>
      <c r="Q329" s="9">
        <v>498</v>
      </c>
      <c r="R329" s="8" t="s">
        <v>17</v>
      </c>
      <c r="S329" s="11">
        <v>245</v>
      </c>
      <c r="T329" s="10">
        <v>0.27</v>
      </c>
    </row>
    <row r="330" spans="1:20" x14ac:dyDescent="0.3">
      <c r="A330" s="7">
        <f t="shared" si="35"/>
        <v>325</v>
      </c>
      <c r="B330" s="8">
        <v>3531</v>
      </c>
      <c r="C330" s="9" t="str">
        <f t="shared" si="32"/>
        <v>4250x85185fe3A4e36079818Ba1d12705A9B6898997040xa60AdD2af71a4f50b3F94509E71a1e9DbDeA5dDa1106175unidade520027</v>
      </c>
      <c r="D330" s="13" t="s">
        <v>392</v>
      </c>
      <c r="E330" s="8" t="s">
        <v>792</v>
      </c>
      <c r="F330" s="8">
        <f t="shared" si="31"/>
        <v>0</v>
      </c>
      <c r="G330" s="8">
        <f t="shared" si="31"/>
        <v>0</v>
      </c>
      <c r="H330" s="8">
        <f t="shared" si="31"/>
        <v>0</v>
      </c>
      <c r="I330" s="8">
        <f t="shared" si="31"/>
        <v>5</v>
      </c>
      <c r="J330" s="8">
        <f t="shared" si="33"/>
        <v>0</v>
      </c>
      <c r="K330" s="15">
        <v>7.638888928340748E-4</v>
      </c>
      <c r="M330" s="8">
        <f t="shared" si="34"/>
        <v>425</v>
      </c>
      <c r="N330" s="9" t="s">
        <v>63</v>
      </c>
      <c r="O330" s="9" t="s">
        <v>16</v>
      </c>
      <c r="P330" s="9">
        <v>1106</v>
      </c>
      <c r="Q330" s="9">
        <v>175</v>
      </c>
      <c r="R330" s="8" t="s">
        <v>17</v>
      </c>
      <c r="S330" s="11">
        <v>52</v>
      </c>
      <c r="T330" s="10">
        <v>0.27</v>
      </c>
    </row>
    <row r="331" spans="1:20" x14ac:dyDescent="0.3">
      <c r="A331" s="7">
        <f t="shared" si="35"/>
        <v>326</v>
      </c>
      <c r="B331" s="8">
        <v>1683</v>
      </c>
      <c r="C331" s="9" t="str">
        <f t="shared" si="32"/>
        <v>4260x85185fe3A4e36079818Ba1d12705A9B6898997040xa60AdD2af71a4f50b3F94509E71a1e9DbDeA5dDa1676124unidade1630027</v>
      </c>
      <c r="D331" s="13" t="s">
        <v>393</v>
      </c>
      <c r="E331" s="8" t="s">
        <v>793</v>
      </c>
      <c r="F331" s="8">
        <f t="shared" si="31"/>
        <v>0</v>
      </c>
      <c r="G331" s="8">
        <f t="shared" si="31"/>
        <v>0</v>
      </c>
      <c r="H331" s="8">
        <f t="shared" si="31"/>
        <v>0</v>
      </c>
      <c r="I331" s="8">
        <f t="shared" si="31"/>
        <v>6</v>
      </c>
      <c r="J331" s="8">
        <f t="shared" si="33"/>
        <v>0</v>
      </c>
      <c r="K331" s="15">
        <v>3.4722221607808024E-4</v>
      </c>
      <c r="M331" s="8">
        <f t="shared" si="34"/>
        <v>426</v>
      </c>
      <c r="N331" s="9" t="s">
        <v>63</v>
      </c>
      <c r="O331" s="9" t="s">
        <v>16</v>
      </c>
      <c r="P331" s="9">
        <v>1676</v>
      </c>
      <c r="Q331" s="9">
        <v>124</v>
      </c>
      <c r="R331" s="8" t="s">
        <v>17</v>
      </c>
      <c r="S331" s="11">
        <v>163</v>
      </c>
      <c r="T331" s="10">
        <v>0.27</v>
      </c>
    </row>
    <row r="332" spans="1:20" x14ac:dyDescent="0.3">
      <c r="A332" s="7">
        <f t="shared" si="35"/>
        <v>327</v>
      </c>
      <c r="B332" s="8">
        <v>332</v>
      </c>
      <c r="C332" s="9" t="str">
        <f t="shared" si="32"/>
        <v>4270x85185fe3A4e36079818Ba1d12705A9B6898997040xa60AdD2af71a4f50b3F94509E71a1e9DbDeA5dDa1049239unidade2110027</v>
      </c>
      <c r="D332" s="13" t="s">
        <v>394</v>
      </c>
      <c r="E332" s="8" t="s">
        <v>794</v>
      </c>
      <c r="F332" s="8">
        <f t="shared" si="31"/>
        <v>0</v>
      </c>
      <c r="G332" s="8">
        <f t="shared" si="31"/>
        <v>0</v>
      </c>
      <c r="H332" s="8">
        <f t="shared" si="31"/>
        <v>0</v>
      </c>
      <c r="I332" s="8">
        <f t="shared" si="31"/>
        <v>9</v>
      </c>
      <c r="J332" s="8">
        <f t="shared" si="33"/>
        <v>0</v>
      </c>
      <c r="K332" s="15">
        <v>6.9444446125999093E-5</v>
      </c>
      <c r="M332" s="8">
        <f t="shared" si="34"/>
        <v>427</v>
      </c>
      <c r="N332" s="9" t="s">
        <v>63</v>
      </c>
      <c r="O332" s="9" t="s">
        <v>16</v>
      </c>
      <c r="P332" s="9">
        <v>1049</v>
      </c>
      <c r="Q332" s="9">
        <v>239</v>
      </c>
      <c r="R332" s="8" t="s">
        <v>17</v>
      </c>
      <c r="S332" s="11">
        <v>211</v>
      </c>
      <c r="T332" s="10">
        <v>0.27</v>
      </c>
    </row>
    <row r="333" spans="1:20" x14ac:dyDescent="0.3">
      <c r="A333" s="7">
        <f t="shared" si="35"/>
        <v>328</v>
      </c>
      <c r="B333" s="8">
        <v>3646</v>
      </c>
      <c r="C333" s="9" t="str">
        <f t="shared" si="32"/>
        <v>4280x85185fe3A4e36079818Ba1d12705A9B6898997040xa60AdD2af71a4f50b3F94509E71a1e9DbDeA5dDa1902124unidade1280027</v>
      </c>
      <c r="D333" s="13" t="s">
        <v>395</v>
      </c>
      <c r="E333" s="8" t="s">
        <v>795</v>
      </c>
      <c r="F333" s="8">
        <f t="shared" si="31"/>
        <v>0</v>
      </c>
      <c r="G333" s="8">
        <f t="shared" si="31"/>
        <v>0</v>
      </c>
      <c r="H333" s="8">
        <f t="shared" si="31"/>
        <v>0</v>
      </c>
      <c r="I333" s="8">
        <f t="shared" si="31"/>
        <v>0</v>
      </c>
      <c r="J333" s="8">
        <f t="shared" si="33"/>
        <v>0</v>
      </c>
      <c r="K333" s="15">
        <v>7.638888928340748E-4</v>
      </c>
      <c r="M333" s="8">
        <f t="shared" si="34"/>
        <v>428</v>
      </c>
      <c r="N333" s="9" t="s">
        <v>63</v>
      </c>
      <c r="O333" s="9" t="s">
        <v>16</v>
      </c>
      <c r="P333" s="9">
        <v>1902</v>
      </c>
      <c r="Q333" s="9">
        <v>124</v>
      </c>
      <c r="R333" s="8" t="s">
        <v>17</v>
      </c>
      <c r="S333" s="11">
        <v>128</v>
      </c>
      <c r="T333" s="10">
        <v>0.27</v>
      </c>
    </row>
    <row r="334" spans="1:20" x14ac:dyDescent="0.3">
      <c r="A334" s="7">
        <f t="shared" si="35"/>
        <v>329</v>
      </c>
      <c r="B334" s="8">
        <v>239</v>
      </c>
      <c r="C334" s="9" t="str">
        <f t="shared" si="32"/>
        <v>4290x85185fe3A4e36079818Ba1d12705A9B6898997040xa60AdD2af71a4f50b3F94509E71a1e9DbDeA5dDa1489165unidade2330027</v>
      </c>
      <c r="D334" s="13" t="s">
        <v>396</v>
      </c>
      <c r="E334" s="8" t="s">
        <v>796</v>
      </c>
      <c r="F334" s="8">
        <f t="shared" si="31"/>
        <v>0</v>
      </c>
      <c r="G334" s="8">
        <f t="shared" si="31"/>
        <v>0</v>
      </c>
      <c r="H334" s="8">
        <f t="shared" si="31"/>
        <v>0</v>
      </c>
      <c r="I334" s="8">
        <f t="shared" si="31"/>
        <v>2</v>
      </c>
      <c r="J334" s="8">
        <f t="shared" si="33"/>
        <v>0</v>
      </c>
      <c r="K334" s="15">
        <v>4.6296292566694319E-5</v>
      </c>
      <c r="M334" s="8">
        <f t="shared" si="34"/>
        <v>429</v>
      </c>
      <c r="N334" s="9" t="s">
        <v>63</v>
      </c>
      <c r="O334" s="9" t="s">
        <v>16</v>
      </c>
      <c r="P334" s="9">
        <v>1489</v>
      </c>
      <c r="Q334" s="9">
        <v>165</v>
      </c>
      <c r="R334" s="8" t="s">
        <v>17</v>
      </c>
      <c r="S334" s="11">
        <v>233</v>
      </c>
      <c r="T334" s="10">
        <v>0.27</v>
      </c>
    </row>
    <row r="335" spans="1:20" x14ac:dyDescent="0.3">
      <c r="A335" s="7">
        <f t="shared" si="35"/>
        <v>330</v>
      </c>
      <c r="B335" s="8">
        <v>6132</v>
      </c>
      <c r="C335" s="9" t="str">
        <f t="shared" si="32"/>
        <v>4300x85185fe3A4e36079818Ba1d12705A9B6898997040xa60AdD2af71a4f50b3F94509E71a1e9DbDeA5dDa1849310unidade1560027</v>
      </c>
      <c r="D335" s="13" t="s">
        <v>397</v>
      </c>
      <c r="E335" s="8" t="s">
        <v>797</v>
      </c>
      <c r="F335" s="8">
        <f t="shared" si="31"/>
        <v>0</v>
      </c>
      <c r="G335" s="8">
        <f t="shared" si="31"/>
        <v>0</v>
      </c>
      <c r="H335" s="8">
        <f t="shared" si="31"/>
        <v>0</v>
      </c>
      <c r="I335" s="8">
        <f t="shared" si="31"/>
        <v>5</v>
      </c>
      <c r="J335" s="8">
        <f t="shared" si="33"/>
        <v>0</v>
      </c>
      <c r="K335" s="15">
        <v>1.2615740779438056E-3</v>
      </c>
      <c r="M335" s="8">
        <f t="shared" si="34"/>
        <v>430</v>
      </c>
      <c r="N335" s="9" t="s">
        <v>63</v>
      </c>
      <c r="O335" s="9" t="s">
        <v>16</v>
      </c>
      <c r="P335" s="9">
        <v>1849</v>
      </c>
      <c r="Q335" s="9">
        <v>310</v>
      </c>
      <c r="R335" s="8" t="s">
        <v>17</v>
      </c>
      <c r="S335" s="11">
        <v>156</v>
      </c>
      <c r="T335" s="10">
        <v>0.27</v>
      </c>
    </row>
    <row r="336" spans="1:20" x14ac:dyDescent="0.3">
      <c r="A336" s="7">
        <f t="shared" si="35"/>
        <v>331</v>
      </c>
      <c r="B336" s="8">
        <v>759</v>
      </c>
      <c r="C336" s="9" t="str">
        <f t="shared" si="32"/>
        <v>4310x85185fe3A4e36079818Ba1d12705A9B6898997040xa60AdD2af71a4f50b3F94509E71a1e9DbDeA5dDa1740268unidade2090027</v>
      </c>
      <c r="D336" s="13" t="s">
        <v>398</v>
      </c>
      <c r="E336" s="8" t="s">
        <v>798</v>
      </c>
      <c r="F336" s="8">
        <f t="shared" si="31"/>
        <v>0</v>
      </c>
      <c r="G336" s="8">
        <f t="shared" si="31"/>
        <v>0</v>
      </c>
      <c r="H336" s="8">
        <f t="shared" si="31"/>
        <v>0</v>
      </c>
      <c r="I336" s="8">
        <f t="shared" si="31"/>
        <v>9</v>
      </c>
      <c r="J336" s="8">
        <f t="shared" si="33"/>
        <v>0</v>
      </c>
      <c r="K336" s="15">
        <v>1.6203703125938773E-4</v>
      </c>
      <c r="M336" s="8">
        <f t="shared" si="34"/>
        <v>431</v>
      </c>
      <c r="N336" s="9" t="s">
        <v>63</v>
      </c>
      <c r="O336" s="9" t="s">
        <v>16</v>
      </c>
      <c r="P336" s="9">
        <v>1740</v>
      </c>
      <c r="Q336" s="9">
        <v>268</v>
      </c>
      <c r="R336" s="8" t="s">
        <v>17</v>
      </c>
      <c r="S336" s="11">
        <v>209</v>
      </c>
      <c r="T336" s="10">
        <v>0.27</v>
      </c>
    </row>
    <row r="337" spans="1:20" x14ac:dyDescent="0.3">
      <c r="A337" s="7">
        <f t="shared" si="35"/>
        <v>332</v>
      </c>
      <c r="B337" s="8">
        <v>2336</v>
      </c>
      <c r="C337" s="9" t="str">
        <f t="shared" si="32"/>
        <v>4320x85185fe3A4e36079818Ba1d12705A9B6898997040xa60AdD2af71a4f50b3F94509E71a1e9DbDeA5dDa1793341unidade2340027</v>
      </c>
      <c r="D337" s="13" t="s">
        <v>399</v>
      </c>
      <c r="E337" s="8" t="s">
        <v>799</v>
      </c>
      <c r="F337" s="8">
        <f t="shared" si="31"/>
        <v>0</v>
      </c>
      <c r="G337" s="8">
        <f t="shared" si="31"/>
        <v>0</v>
      </c>
      <c r="H337" s="8">
        <f t="shared" si="31"/>
        <v>0</v>
      </c>
      <c r="I337" s="8">
        <f t="shared" si="31"/>
        <v>6</v>
      </c>
      <c r="J337" s="8">
        <f t="shared" si="33"/>
        <v>0</v>
      </c>
      <c r="K337" s="15">
        <v>4.7453703882638365E-4</v>
      </c>
      <c r="M337" s="8">
        <f t="shared" si="34"/>
        <v>432</v>
      </c>
      <c r="N337" s="9" t="s">
        <v>63</v>
      </c>
      <c r="O337" s="9" t="s">
        <v>16</v>
      </c>
      <c r="P337" s="9">
        <v>1793</v>
      </c>
      <c r="Q337" s="9">
        <v>341</v>
      </c>
      <c r="R337" s="8" t="s">
        <v>17</v>
      </c>
      <c r="S337" s="11">
        <v>234</v>
      </c>
      <c r="T337" s="10">
        <v>0.27</v>
      </c>
    </row>
    <row r="338" spans="1:20" x14ac:dyDescent="0.3">
      <c r="A338" s="7">
        <f t="shared" si="35"/>
        <v>333</v>
      </c>
      <c r="B338" s="8">
        <v>1277</v>
      </c>
      <c r="C338" s="9" t="str">
        <f t="shared" si="32"/>
        <v>4330x85185fe3A4e36079818Ba1d12705A9B6898997040xa60AdD2af71a4f50b3F94509E71a1e9DbDeA5dDa1103378unidade1030027</v>
      </c>
      <c r="D338" s="13" t="s">
        <v>400</v>
      </c>
      <c r="E338" s="8" t="s">
        <v>800</v>
      </c>
      <c r="F338" s="8">
        <f t="shared" si="31"/>
        <v>0</v>
      </c>
      <c r="G338" s="8">
        <f t="shared" si="31"/>
        <v>0</v>
      </c>
      <c r="H338" s="8">
        <f t="shared" si="31"/>
        <v>0</v>
      </c>
      <c r="I338" s="8">
        <f t="shared" si="31"/>
        <v>1</v>
      </c>
      <c r="J338" s="8">
        <f t="shared" si="33"/>
        <v>0</v>
      </c>
      <c r="K338" s="15">
        <v>2.6620370772434399E-4</v>
      </c>
      <c r="M338" s="8">
        <f t="shared" si="34"/>
        <v>433</v>
      </c>
      <c r="N338" s="9" t="s">
        <v>63</v>
      </c>
      <c r="O338" s="9" t="s">
        <v>16</v>
      </c>
      <c r="P338" s="9">
        <v>1103</v>
      </c>
      <c r="Q338" s="9">
        <v>378</v>
      </c>
      <c r="R338" s="8" t="s">
        <v>17</v>
      </c>
      <c r="S338" s="11">
        <v>103</v>
      </c>
      <c r="T338" s="10">
        <v>0.27</v>
      </c>
    </row>
    <row r="339" spans="1:20" x14ac:dyDescent="0.3">
      <c r="A339" s="7">
        <f t="shared" si="35"/>
        <v>334</v>
      </c>
      <c r="B339" s="8">
        <v>453</v>
      </c>
      <c r="C339" s="9" t="str">
        <f t="shared" si="32"/>
        <v>4340x85185fe3A4e36079818Ba1d12705A9B6898997040xa60AdD2af71a4f50b3F94509E71a1e9DbDeA5dDa1799206unidade640027</v>
      </c>
      <c r="D339" s="13" t="s">
        <v>401</v>
      </c>
      <c r="E339" s="8" t="s">
        <v>801</v>
      </c>
      <c r="F339" s="8">
        <f t="shared" si="31"/>
        <v>0</v>
      </c>
      <c r="G339" s="8">
        <f t="shared" si="31"/>
        <v>0</v>
      </c>
      <c r="H339" s="8">
        <f t="shared" si="31"/>
        <v>0</v>
      </c>
      <c r="I339" s="8">
        <f t="shared" si="31"/>
        <v>3</v>
      </c>
      <c r="J339" s="8">
        <f t="shared" si="33"/>
        <v>0</v>
      </c>
      <c r="K339" s="15">
        <v>9.2592592409346253E-5</v>
      </c>
      <c r="M339" s="8">
        <f t="shared" si="34"/>
        <v>434</v>
      </c>
      <c r="N339" s="9" t="s">
        <v>63</v>
      </c>
      <c r="O339" s="9" t="s">
        <v>16</v>
      </c>
      <c r="P339" s="9">
        <v>1799</v>
      </c>
      <c r="Q339" s="9">
        <v>206</v>
      </c>
      <c r="R339" s="8" t="s">
        <v>17</v>
      </c>
      <c r="S339" s="11">
        <v>64</v>
      </c>
      <c r="T339" s="10">
        <v>0.27</v>
      </c>
    </row>
    <row r="340" spans="1:20" x14ac:dyDescent="0.3">
      <c r="A340" s="7">
        <f t="shared" si="35"/>
        <v>335</v>
      </c>
      <c r="B340" s="8">
        <v>59</v>
      </c>
      <c r="C340" s="9" t="str">
        <f t="shared" si="32"/>
        <v>4350x85185fe3A4e36079818Ba1d12705A9B6898997040xa60AdD2af71a4f50b3F94509E71a1e9DbDeA5dDa1019429unidade1390027</v>
      </c>
      <c r="D340" s="13" t="s">
        <v>402</v>
      </c>
      <c r="E340" s="8" t="s">
        <v>802</v>
      </c>
      <c r="F340" s="8">
        <f t="shared" si="31"/>
        <v>0</v>
      </c>
      <c r="G340" s="8">
        <f t="shared" si="31"/>
        <v>0</v>
      </c>
      <c r="H340" s="8">
        <f t="shared" si="31"/>
        <v>0</v>
      </c>
      <c r="I340" s="8">
        <f t="shared" si="31"/>
        <v>0</v>
      </c>
      <c r="J340" s="8">
        <f t="shared" si="33"/>
        <v>0</v>
      </c>
      <c r="K340" s="15">
        <v>1.1574069503694773E-5</v>
      </c>
      <c r="M340" s="8">
        <f t="shared" si="34"/>
        <v>435</v>
      </c>
      <c r="N340" s="9" t="s">
        <v>63</v>
      </c>
      <c r="O340" s="9" t="s">
        <v>16</v>
      </c>
      <c r="P340" s="9">
        <v>1019</v>
      </c>
      <c r="Q340" s="9">
        <v>429</v>
      </c>
      <c r="R340" s="8" t="s">
        <v>17</v>
      </c>
      <c r="S340" s="11">
        <v>139</v>
      </c>
      <c r="T340" s="10">
        <v>0.27</v>
      </c>
    </row>
    <row r="341" spans="1:20" x14ac:dyDescent="0.3">
      <c r="A341" s="7">
        <f t="shared" si="35"/>
        <v>336</v>
      </c>
      <c r="B341" s="8">
        <v>107</v>
      </c>
      <c r="C341" s="9" t="str">
        <f t="shared" si="32"/>
        <v>4360x85185fe3A4e36079818Ba1d12705A9B6898997040xa60AdD2af71a4f50b3F94509E71a1e9DbDeA5dDa1855229unidade900027</v>
      </c>
      <c r="D341" s="13" t="s">
        <v>403</v>
      </c>
      <c r="E341" s="8" t="s">
        <v>803</v>
      </c>
      <c r="F341" s="8">
        <f t="shared" si="31"/>
        <v>0</v>
      </c>
      <c r="G341" s="8">
        <f t="shared" si="31"/>
        <v>0</v>
      </c>
      <c r="H341" s="8">
        <f t="shared" si="31"/>
        <v>0</v>
      </c>
      <c r="I341" s="8">
        <f t="shared" si="31"/>
        <v>1</v>
      </c>
      <c r="J341" s="8">
        <f t="shared" si="33"/>
        <v>0</v>
      </c>
      <c r="K341" s="15">
        <v>2.3148153559304774E-5</v>
      </c>
      <c r="M341" s="8">
        <f t="shared" si="34"/>
        <v>436</v>
      </c>
      <c r="N341" s="9" t="s">
        <v>63</v>
      </c>
      <c r="O341" s="9" t="s">
        <v>16</v>
      </c>
      <c r="P341" s="9">
        <v>1855</v>
      </c>
      <c r="Q341" s="9">
        <v>229</v>
      </c>
      <c r="R341" s="8" t="s">
        <v>17</v>
      </c>
      <c r="S341" s="11">
        <v>90</v>
      </c>
      <c r="T341" s="10">
        <v>0.27</v>
      </c>
    </row>
    <row r="342" spans="1:20" x14ac:dyDescent="0.3">
      <c r="A342" s="7">
        <f t="shared" si="35"/>
        <v>337</v>
      </c>
      <c r="B342" s="8">
        <v>4782</v>
      </c>
      <c r="C342" s="9" t="str">
        <f t="shared" si="32"/>
        <v>4370x85185fe3A4e36079818Ba1d12705A9B6898997040xa60AdD2af71a4f50b3F94509E71a1e9DbDeA5dDa1251142unidade500027</v>
      </c>
      <c r="D342" s="13" t="s">
        <v>404</v>
      </c>
      <c r="E342" s="8" t="s">
        <v>804</v>
      </c>
      <c r="F342" s="8">
        <f t="shared" si="31"/>
        <v>0</v>
      </c>
      <c r="G342" s="8">
        <f t="shared" si="31"/>
        <v>0</v>
      </c>
      <c r="H342" s="8">
        <f t="shared" si="31"/>
        <v>0</v>
      </c>
      <c r="I342" s="8">
        <f t="shared" si="31"/>
        <v>1</v>
      </c>
      <c r="J342" s="8">
        <f t="shared" si="33"/>
        <v>0</v>
      </c>
      <c r="K342" s="15">
        <v>9.9537037021946162E-4</v>
      </c>
      <c r="M342" s="8">
        <f t="shared" si="34"/>
        <v>437</v>
      </c>
      <c r="N342" s="9" t="s">
        <v>63</v>
      </c>
      <c r="O342" s="9" t="s">
        <v>16</v>
      </c>
      <c r="P342" s="9">
        <v>1251</v>
      </c>
      <c r="Q342" s="9">
        <v>142</v>
      </c>
      <c r="R342" s="8" t="s">
        <v>17</v>
      </c>
      <c r="S342" s="11">
        <v>50</v>
      </c>
      <c r="T342" s="10">
        <v>0.27</v>
      </c>
    </row>
    <row r="343" spans="1:20" x14ac:dyDescent="0.3">
      <c r="A343" s="7">
        <f t="shared" si="35"/>
        <v>338</v>
      </c>
      <c r="B343" s="8">
        <v>4554</v>
      </c>
      <c r="C343" s="9" t="str">
        <f t="shared" si="32"/>
        <v>4380x85185fe3A4e36079818Ba1d12705A9B6898997040xa60AdD2af71a4f50b3F94509E71a1e9DbDeA5dDa1568238unidade560027</v>
      </c>
      <c r="D343" s="13" t="s">
        <v>405</v>
      </c>
      <c r="E343" s="8" t="s">
        <v>805</v>
      </c>
      <c r="F343" s="8">
        <f t="shared" si="31"/>
        <v>0</v>
      </c>
      <c r="G343" s="8">
        <f t="shared" si="31"/>
        <v>0</v>
      </c>
      <c r="H343" s="8">
        <f t="shared" si="31"/>
        <v>0</v>
      </c>
      <c r="I343" s="8">
        <f t="shared" si="31"/>
        <v>1</v>
      </c>
      <c r="J343" s="8">
        <f t="shared" si="33"/>
        <v>0</v>
      </c>
      <c r="K343" s="15">
        <v>9.374999935971573E-4</v>
      </c>
      <c r="M343" s="8">
        <f t="shared" si="34"/>
        <v>438</v>
      </c>
      <c r="N343" s="9" t="s">
        <v>63</v>
      </c>
      <c r="O343" s="9" t="s">
        <v>16</v>
      </c>
      <c r="P343" s="9">
        <v>1568</v>
      </c>
      <c r="Q343" s="9">
        <v>238</v>
      </c>
      <c r="R343" s="8" t="s">
        <v>17</v>
      </c>
      <c r="S343" s="11">
        <v>56</v>
      </c>
      <c r="T343" s="10">
        <v>0.27</v>
      </c>
    </row>
    <row r="344" spans="1:20" x14ac:dyDescent="0.3">
      <c r="A344" s="7">
        <f t="shared" si="35"/>
        <v>339</v>
      </c>
      <c r="B344" s="8">
        <v>424</v>
      </c>
      <c r="C344" s="9" t="str">
        <f t="shared" si="32"/>
        <v>4390x85185fe3A4e36079818Ba1d12705A9B6898997040xa60AdD2af71a4f50b3F94509E71a1e9DbDeA5dDa1996146unidade2440027</v>
      </c>
      <c r="D344" s="13" t="s">
        <v>406</v>
      </c>
      <c r="E344" s="8" t="s">
        <v>806</v>
      </c>
      <c r="F344" s="8">
        <f t="shared" si="31"/>
        <v>0</v>
      </c>
      <c r="G344" s="8">
        <f t="shared" si="31"/>
        <v>0</v>
      </c>
      <c r="H344" s="8">
        <f t="shared" si="31"/>
        <v>0</v>
      </c>
      <c r="I344" s="8">
        <f t="shared" si="31"/>
        <v>1</v>
      </c>
      <c r="J344" s="8">
        <f t="shared" si="33"/>
        <v>0</v>
      </c>
      <c r="K344" s="15">
        <v>9.2592592409346253E-5</v>
      </c>
      <c r="M344" s="8">
        <f t="shared" si="34"/>
        <v>439</v>
      </c>
      <c r="N344" s="9" t="s">
        <v>63</v>
      </c>
      <c r="O344" s="9" t="s">
        <v>16</v>
      </c>
      <c r="P344" s="9">
        <v>1996</v>
      </c>
      <c r="Q344" s="9">
        <v>146</v>
      </c>
      <c r="R344" s="8" t="s">
        <v>17</v>
      </c>
      <c r="S344" s="11">
        <v>244</v>
      </c>
      <c r="T344" s="10">
        <v>0.27</v>
      </c>
    </row>
    <row r="345" spans="1:20" x14ac:dyDescent="0.3">
      <c r="A345" s="7">
        <f t="shared" si="35"/>
        <v>340</v>
      </c>
      <c r="B345" s="8">
        <v>5178</v>
      </c>
      <c r="C345" s="9" t="str">
        <f t="shared" si="32"/>
        <v>4400x85185fe3A4e36079818Ba1d12705A9B6898997040xa60AdD2af71a4f50b3F94509E71a1e9DbDeA5dDa1504120unidade610027</v>
      </c>
      <c r="D345" s="13" t="s">
        <v>407</v>
      </c>
      <c r="E345" s="8" t="s">
        <v>807</v>
      </c>
      <c r="F345" s="8">
        <f t="shared" si="31"/>
        <v>0</v>
      </c>
      <c r="G345" s="8">
        <f t="shared" si="31"/>
        <v>0</v>
      </c>
      <c r="H345" s="8">
        <f t="shared" si="31"/>
        <v>0</v>
      </c>
      <c r="I345" s="8">
        <f t="shared" si="31"/>
        <v>8</v>
      </c>
      <c r="J345" s="8">
        <f t="shared" si="33"/>
        <v>0</v>
      </c>
      <c r="K345" s="15">
        <v>1.0648148163454607E-3</v>
      </c>
      <c r="M345" s="8">
        <f t="shared" si="34"/>
        <v>440</v>
      </c>
      <c r="N345" s="9" t="s">
        <v>63</v>
      </c>
      <c r="O345" s="9" t="s">
        <v>16</v>
      </c>
      <c r="P345" s="9">
        <v>1504</v>
      </c>
      <c r="Q345" s="9">
        <v>120</v>
      </c>
      <c r="R345" s="8" t="s">
        <v>17</v>
      </c>
      <c r="S345" s="11">
        <v>61</v>
      </c>
      <c r="T345" s="10">
        <v>0.27</v>
      </c>
    </row>
    <row r="346" spans="1:20" x14ac:dyDescent="0.3">
      <c r="A346" s="7">
        <f t="shared" si="35"/>
        <v>341</v>
      </c>
      <c r="B346" s="8">
        <v>1075</v>
      </c>
      <c r="C346" s="9" t="str">
        <f t="shared" si="32"/>
        <v>4410x85185fe3A4e36079818Ba1d12705A9B6898997040xa60AdD2af71a4f50b3F94509E71a1e9DbDeA5dDa1089406unidade700027</v>
      </c>
      <c r="D346" s="13" t="s">
        <v>408</v>
      </c>
      <c r="E346" s="8" t="s">
        <v>808</v>
      </c>
      <c r="F346" s="8">
        <f t="shared" si="31"/>
        <v>0</v>
      </c>
      <c r="G346" s="8">
        <f t="shared" si="31"/>
        <v>0</v>
      </c>
      <c r="H346" s="8">
        <f t="shared" si="31"/>
        <v>0</v>
      </c>
      <c r="I346" s="8">
        <f t="shared" si="31"/>
        <v>9</v>
      </c>
      <c r="J346" s="8">
        <f t="shared" si="33"/>
        <v>0</v>
      </c>
      <c r="K346" s="15">
        <v>2.1990740788169205E-4</v>
      </c>
      <c r="M346" s="8">
        <f t="shared" si="34"/>
        <v>441</v>
      </c>
      <c r="N346" s="9" t="s">
        <v>63</v>
      </c>
      <c r="O346" s="9" t="s">
        <v>16</v>
      </c>
      <c r="P346" s="9">
        <v>1089</v>
      </c>
      <c r="Q346" s="9">
        <v>406</v>
      </c>
      <c r="R346" s="8" t="s">
        <v>17</v>
      </c>
      <c r="S346" s="11">
        <v>70</v>
      </c>
      <c r="T346" s="10">
        <v>0.27</v>
      </c>
    </row>
    <row r="347" spans="1:20" x14ac:dyDescent="0.3">
      <c r="A347" s="7">
        <f t="shared" si="35"/>
        <v>342</v>
      </c>
      <c r="B347" s="8">
        <v>7416</v>
      </c>
      <c r="C347" s="9" t="str">
        <f t="shared" si="32"/>
        <v>4420x85185fe3A4e36079818Ba1d12705A9B6898997040xa60AdD2af71a4f50b3F94509E71a1e9DbDeA5dDa1825131unidade2380027</v>
      </c>
      <c r="D347" s="13" t="s">
        <v>409</v>
      </c>
      <c r="E347" s="8" t="s">
        <v>809</v>
      </c>
      <c r="F347" s="8">
        <f t="shared" si="31"/>
        <v>0</v>
      </c>
      <c r="G347" s="8">
        <f t="shared" si="31"/>
        <v>0</v>
      </c>
      <c r="H347" s="8">
        <f t="shared" si="31"/>
        <v>0</v>
      </c>
      <c r="I347" s="8">
        <f t="shared" si="31"/>
        <v>4</v>
      </c>
      <c r="J347" s="8">
        <f t="shared" si="33"/>
        <v>0</v>
      </c>
      <c r="K347" s="15">
        <v>1.5393518551718444E-3</v>
      </c>
      <c r="M347" s="8">
        <f t="shared" si="34"/>
        <v>442</v>
      </c>
      <c r="N347" s="9" t="s">
        <v>63</v>
      </c>
      <c r="O347" s="9" t="s">
        <v>16</v>
      </c>
      <c r="P347" s="9">
        <v>1825</v>
      </c>
      <c r="Q347" s="9">
        <v>131</v>
      </c>
      <c r="R347" s="8" t="s">
        <v>17</v>
      </c>
      <c r="S347" s="11">
        <v>238</v>
      </c>
      <c r="T347" s="10">
        <v>0.27</v>
      </c>
    </row>
    <row r="348" spans="1:20" x14ac:dyDescent="0.3">
      <c r="A348" s="7">
        <f t="shared" si="35"/>
        <v>343</v>
      </c>
      <c r="B348" s="8">
        <v>28</v>
      </c>
      <c r="C348" s="9" t="str">
        <f t="shared" si="32"/>
        <v>4430x85185fe3A4e36079818Ba1d12705A9B6898997040xa60AdD2af71a4f50b3F94509E71a1e9DbDeA5dDa1056489unidade970027</v>
      </c>
      <c r="D348" s="13" t="s">
        <v>410</v>
      </c>
      <c r="E348" s="8" t="s">
        <v>810</v>
      </c>
      <c r="F348" s="8">
        <f t="shared" si="31"/>
        <v>0</v>
      </c>
      <c r="G348" s="8">
        <f t="shared" si="31"/>
        <v>0</v>
      </c>
      <c r="H348" s="8">
        <f t="shared" si="31"/>
        <v>0</v>
      </c>
      <c r="I348" s="8">
        <f t="shared" si="31"/>
        <v>0</v>
      </c>
      <c r="J348" s="8">
        <f t="shared" si="33"/>
        <v>0</v>
      </c>
      <c r="K348" s="15">
        <v>1.1574069503694773E-5</v>
      </c>
      <c r="M348" s="8">
        <f t="shared" si="34"/>
        <v>443</v>
      </c>
      <c r="N348" s="9" t="s">
        <v>63</v>
      </c>
      <c r="O348" s="9" t="s">
        <v>16</v>
      </c>
      <c r="P348" s="9">
        <v>1056</v>
      </c>
      <c r="Q348" s="9">
        <v>489</v>
      </c>
      <c r="R348" s="8" t="s">
        <v>17</v>
      </c>
      <c r="S348" s="11">
        <v>97</v>
      </c>
      <c r="T348" s="10">
        <v>0.27</v>
      </c>
    </row>
    <row r="349" spans="1:20" x14ac:dyDescent="0.3">
      <c r="A349" s="7">
        <f t="shared" si="35"/>
        <v>344</v>
      </c>
      <c r="B349" s="8">
        <v>2060</v>
      </c>
      <c r="C349" s="9" t="str">
        <f t="shared" si="32"/>
        <v>4440x85185fe3A4e36079818Ba1d12705A9B6898997040xa60AdD2af71a4f50b3F94509E71a1e9DbDeA5dDa1376425unidade780027</v>
      </c>
      <c r="D349" s="13" t="s">
        <v>411</v>
      </c>
      <c r="E349" s="8" t="s">
        <v>811</v>
      </c>
      <c r="F349" s="8">
        <f t="shared" si="31"/>
        <v>0</v>
      </c>
      <c r="G349" s="8">
        <f t="shared" si="31"/>
        <v>0</v>
      </c>
      <c r="H349" s="8">
        <f t="shared" si="31"/>
        <v>0</v>
      </c>
      <c r="I349" s="8">
        <f t="shared" si="31"/>
        <v>7</v>
      </c>
      <c r="J349" s="8">
        <f t="shared" si="33"/>
        <v>0</v>
      </c>
      <c r="K349" s="15">
        <v>4.5138889254303649E-4</v>
      </c>
      <c r="M349" s="8">
        <f t="shared" si="34"/>
        <v>444</v>
      </c>
      <c r="N349" s="9" t="s">
        <v>63</v>
      </c>
      <c r="O349" s="9" t="s">
        <v>16</v>
      </c>
      <c r="P349" s="9">
        <v>1376</v>
      </c>
      <c r="Q349" s="9">
        <v>425</v>
      </c>
      <c r="R349" s="8" t="s">
        <v>17</v>
      </c>
      <c r="S349" s="11">
        <v>78</v>
      </c>
      <c r="T349" s="10">
        <v>0.27</v>
      </c>
    </row>
    <row r="350" spans="1:20" x14ac:dyDescent="0.3">
      <c r="A350" s="7">
        <f t="shared" si="35"/>
        <v>345</v>
      </c>
      <c r="B350" s="8">
        <v>11255</v>
      </c>
      <c r="C350" s="9" t="str">
        <f t="shared" si="32"/>
        <v>4450x85185fe3A4e36079818Ba1d12705A9B6898997040xa60AdD2af71a4f50b3F94509E71a1e9DbDeA5dDa1751420unidade2120027</v>
      </c>
      <c r="D350" s="13" t="s">
        <v>412</v>
      </c>
      <c r="E350" s="8" t="s">
        <v>812</v>
      </c>
      <c r="F350" s="8">
        <f t="shared" si="31"/>
        <v>0</v>
      </c>
      <c r="G350" s="8">
        <f t="shared" si="31"/>
        <v>0</v>
      </c>
      <c r="H350" s="8">
        <f t="shared" si="31"/>
        <v>0</v>
      </c>
      <c r="I350" s="8">
        <f t="shared" si="31"/>
        <v>0</v>
      </c>
      <c r="J350" s="8">
        <f t="shared" si="33"/>
        <v>0</v>
      </c>
      <c r="K350" s="15">
        <v>2.3032407407299615E-3</v>
      </c>
      <c r="M350" s="8">
        <f t="shared" si="34"/>
        <v>445</v>
      </c>
      <c r="N350" s="9" t="s">
        <v>63</v>
      </c>
      <c r="O350" s="9" t="s">
        <v>16</v>
      </c>
      <c r="P350" s="9">
        <v>1751</v>
      </c>
      <c r="Q350" s="9">
        <v>420</v>
      </c>
      <c r="R350" s="8" t="s">
        <v>17</v>
      </c>
      <c r="S350" s="11">
        <v>212</v>
      </c>
      <c r="T350" s="10">
        <v>0.27</v>
      </c>
    </row>
    <row r="351" spans="1:20" x14ac:dyDescent="0.3">
      <c r="A351" s="7">
        <f t="shared" si="35"/>
        <v>346</v>
      </c>
      <c r="B351" s="8">
        <v>185</v>
      </c>
      <c r="C351" s="9" t="str">
        <f t="shared" si="32"/>
        <v>4460x85185fe3A4e36079818Ba1d12705A9B6898997040xa60AdD2af71a4f50b3F94509E71a1e9DbDeA5dDa1744482unidade1330027</v>
      </c>
      <c r="D351" s="13" t="s">
        <v>413</v>
      </c>
      <c r="E351" s="8" t="s">
        <v>813</v>
      </c>
      <c r="F351" s="8">
        <f t="shared" si="31"/>
        <v>0</v>
      </c>
      <c r="G351" s="8">
        <f t="shared" si="31"/>
        <v>0</v>
      </c>
      <c r="H351" s="8">
        <f t="shared" si="31"/>
        <v>0</v>
      </c>
      <c r="I351" s="8">
        <f t="shared" si="31"/>
        <v>1</v>
      </c>
      <c r="J351" s="8">
        <f t="shared" si="33"/>
        <v>0</v>
      </c>
      <c r="K351" s="15">
        <v>3.4722223062999547E-5</v>
      </c>
      <c r="M351" s="8">
        <f t="shared" si="34"/>
        <v>446</v>
      </c>
      <c r="N351" s="9" t="s">
        <v>63</v>
      </c>
      <c r="O351" s="9" t="s">
        <v>16</v>
      </c>
      <c r="P351" s="9">
        <v>1744</v>
      </c>
      <c r="Q351" s="9">
        <v>482</v>
      </c>
      <c r="R351" s="8" t="s">
        <v>17</v>
      </c>
      <c r="S351" s="11">
        <v>133</v>
      </c>
      <c r="T351" s="10">
        <v>0.27</v>
      </c>
    </row>
    <row r="352" spans="1:20" x14ac:dyDescent="0.3">
      <c r="A352" s="7">
        <f t="shared" si="35"/>
        <v>347</v>
      </c>
      <c r="B352" s="8">
        <v>2454</v>
      </c>
      <c r="C352" s="9" t="str">
        <f t="shared" si="32"/>
        <v>4470x85185fe3A4e36079818Ba1d12705A9B6898997040xa60AdD2af71a4f50b3F94509E71a1e9DbDeA5dDa1464421unidade500027</v>
      </c>
      <c r="D352" s="13" t="s">
        <v>414</v>
      </c>
      <c r="E352" s="8" t="s">
        <v>814</v>
      </c>
      <c r="F352" s="8">
        <f t="shared" si="31"/>
        <v>0</v>
      </c>
      <c r="G352" s="8">
        <f t="shared" si="31"/>
        <v>0</v>
      </c>
      <c r="H352" s="8">
        <f t="shared" si="31"/>
        <v>0</v>
      </c>
      <c r="I352" s="8">
        <f t="shared" si="31"/>
        <v>2</v>
      </c>
      <c r="J352" s="8">
        <f t="shared" si="33"/>
        <v>0</v>
      </c>
      <c r="K352" s="15">
        <v>5.2083333139307797E-4</v>
      </c>
      <c r="M352" s="8">
        <f t="shared" si="34"/>
        <v>447</v>
      </c>
      <c r="N352" s="9" t="s">
        <v>63</v>
      </c>
      <c r="O352" s="9" t="s">
        <v>16</v>
      </c>
      <c r="P352" s="9">
        <v>1464</v>
      </c>
      <c r="Q352" s="9">
        <v>421</v>
      </c>
      <c r="R352" s="8" t="s">
        <v>17</v>
      </c>
      <c r="S352" s="11">
        <v>50</v>
      </c>
      <c r="T352" s="10">
        <v>0.27</v>
      </c>
    </row>
    <row r="353" spans="1:20" x14ac:dyDescent="0.3">
      <c r="A353" s="7">
        <f t="shared" si="35"/>
        <v>348</v>
      </c>
      <c r="B353" s="8">
        <v>181</v>
      </c>
      <c r="C353" s="9" t="str">
        <f t="shared" si="32"/>
        <v>4480x85185fe3A4e36079818Ba1d12705A9B6898997040xa60AdD2af71a4f50b3F94509E71a1e9DbDeA5dDa1351244unidade1830027</v>
      </c>
      <c r="D353" s="13" t="s">
        <v>415</v>
      </c>
      <c r="E353" s="8" t="s">
        <v>815</v>
      </c>
      <c r="F353" s="8">
        <f t="shared" si="31"/>
        <v>0</v>
      </c>
      <c r="G353" s="8">
        <f t="shared" si="31"/>
        <v>0</v>
      </c>
      <c r="H353" s="8">
        <f t="shared" si="31"/>
        <v>0</v>
      </c>
      <c r="I353" s="8">
        <f t="shared" si="31"/>
        <v>1</v>
      </c>
      <c r="J353" s="8">
        <f t="shared" si="33"/>
        <v>0</v>
      </c>
      <c r="K353" s="15">
        <v>3.4722223062999547E-5</v>
      </c>
      <c r="M353" s="8">
        <f t="shared" si="34"/>
        <v>448</v>
      </c>
      <c r="N353" s="9" t="s">
        <v>63</v>
      </c>
      <c r="O353" s="9" t="s">
        <v>16</v>
      </c>
      <c r="P353" s="9">
        <v>1351</v>
      </c>
      <c r="Q353" s="9">
        <v>244</v>
      </c>
      <c r="R353" s="8" t="s">
        <v>17</v>
      </c>
      <c r="S353" s="11">
        <v>183</v>
      </c>
      <c r="T353" s="10">
        <v>0.27</v>
      </c>
    </row>
    <row r="354" spans="1:20" x14ac:dyDescent="0.3">
      <c r="A354" s="7">
        <f t="shared" si="35"/>
        <v>349</v>
      </c>
      <c r="B354" s="8">
        <v>794</v>
      </c>
      <c r="C354" s="9" t="str">
        <f t="shared" si="32"/>
        <v>4490x85185fe3A4e36079818Ba1d12705A9B6898997040xa60AdD2af71a4f50b3F94509E71a1e9DbDeA5dDa1417313unidade2200027</v>
      </c>
      <c r="D354" s="13" t="s">
        <v>416</v>
      </c>
      <c r="E354" s="8" t="s">
        <v>816</v>
      </c>
      <c r="F354" s="8">
        <f t="shared" si="31"/>
        <v>0</v>
      </c>
      <c r="G354" s="8">
        <f t="shared" si="31"/>
        <v>0</v>
      </c>
      <c r="H354" s="8">
        <f t="shared" si="31"/>
        <v>0</v>
      </c>
      <c r="I354" s="8">
        <f t="shared" si="31"/>
        <v>1</v>
      </c>
      <c r="J354" s="8">
        <f t="shared" si="33"/>
        <v>0</v>
      </c>
      <c r="K354" s="15">
        <v>1.6203703853534535E-4</v>
      </c>
      <c r="M354" s="8">
        <f t="shared" si="34"/>
        <v>449</v>
      </c>
      <c r="N354" s="9" t="s">
        <v>63</v>
      </c>
      <c r="O354" s="9" t="s">
        <v>16</v>
      </c>
      <c r="P354" s="9">
        <v>1417</v>
      </c>
      <c r="Q354" s="9">
        <v>313</v>
      </c>
      <c r="R354" s="8" t="s">
        <v>17</v>
      </c>
      <c r="S354" s="11">
        <v>220</v>
      </c>
      <c r="T354" s="10">
        <v>0.27</v>
      </c>
    </row>
    <row r="355" spans="1:20" x14ac:dyDescent="0.3">
      <c r="A355" s="7">
        <f t="shared" si="35"/>
        <v>350</v>
      </c>
      <c r="B355" s="8">
        <v>4228</v>
      </c>
      <c r="C355" s="9" t="str">
        <f t="shared" si="32"/>
        <v>4500x85185fe3A4e36079818Ba1d12705A9B6898997040xa60AdD2af71a4f50b3F94509E71a1e9DbDeA5dDa1064182unidade680027</v>
      </c>
      <c r="D355" s="13" t="s">
        <v>417</v>
      </c>
      <c r="E355" s="8" t="s">
        <v>817</v>
      </c>
      <c r="F355" s="8">
        <f t="shared" si="31"/>
        <v>0</v>
      </c>
      <c r="G355" s="8">
        <f t="shared" si="31"/>
        <v>0</v>
      </c>
      <c r="H355" s="8">
        <f t="shared" si="31"/>
        <v>0</v>
      </c>
      <c r="I355" s="8">
        <f t="shared" si="31"/>
        <v>1</v>
      </c>
      <c r="J355" s="8">
        <f t="shared" si="33"/>
        <v>0</v>
      </c>
      <c r="K355" s="15">
        <v>8.6805555474711582E-4</v>
      </c>
      <c r="M355" s="8">
        <f t="shared" si="34"/>
        <v>450</v>
      </c>
      <c r="N355" s="9" t="s">
        <v>63</v>
      </c>
      <c r="O355" s="9" t="s">
        <v>16</v>
      </c>
      <c r="P355" s="9">
        <v>1064</v>
      </c>
      <c r="Q355" s="9">
        <v>182</v>
      </c>
      <c r="R355" s="8" t="s">
        <v>17</v>
      </c>
      <c r="S355" s="11">
        <v>68</v>
      </c>
      <c r="T355" s="10">
        <v>0.27</v>
      </c>
    </row>
    <row r="356" spans="1:20" x14ac:dyDescent="0.3">
      <c r="A356" s="7">
        <f t="shared" si="35"/>
        <v>351</v>
      </c>
      <c r="B356" s="8">
        <v>22039</v>
      </c>
      <c r="C356" s="9" t="str">
        <f t="shared" si="32"/>
        <v>4510x85185fe3A4e36079818Ba1d12705A9B6898997040xa60AdD2af71a4f50b3F94509E71a1e9DbDeA5dDa1090289unidade1720027</v>
      </c>
      <c r="D356" s="13" t="s">
        <v>418</v>
      </c>
      <c r="E356" s="8" t="s">
        <v>818</v>
      </c>
      <c r="F356" s="8">
        <f t="shared" si="31"/>
        <v>0</v>
      </c>
      <c r="G356" s="8">
        <f t="shared" si="31"/>
        <v>0</v>
      </c>
      <c r="H356" s="8">
        <f t="shared" si="31"/>
        <v>0</v>
      </c>
      <c r="I356" s="8">
        <f t="shared" si="31"/>
        <v>1</v>
      </c>
      <c r="J356" s="8">
        <f t="shared" si="33"/>
        <v>0</v>
      </c>
      <c r="K356" s="15">
        <v>4.5601851888932288E-3</v>
      </c>
      <c r="M356" s="8">
        <f t="shared" si="34"/>
        <v>451</v>
      </c>
      <c r="N356" s="9" t="s">
        <v>63</v>
      </c>
      <c r="O356" s="9" t="s">
        <v>16</v>
      </c>
      <c r="P356" s="9">
        <v>1090</v>
      </c>
      <c r="Q356" s="9">
        <v>289</v>
      </c>
      <c r="R356" s="8" t="s">
        <v>17</v>
      </c>
      <c r="S356" s="11">
        <v>172</v>
      </c>
      <c r="T356" s="10">
        <v>0.27</v>
      </c>
    </row>
    <row r="357" spans="1:20" x14ac:dyDescent="0.3">
      <c r="A357" s="7">
        <f t="shared" si="35"/>
        <v>352</v>
      </c>
      <c r="B357" s="8">
        <v>5212</v>
      </c>
      <c r="C357" s="9" t="str">
        <f t="shared" si="32"/>
        <v>4520x85185fe3A4e36079818Ba1d12705A9B6898997040xa60AdD2af71a4f50b3F94509E71a1e9DbDeA5dDa1696304unidade640027</v>
      </c>
      <c r="D357" s="13" t="s">
        <v>419</v>
      </c>
      <c r="E357" s="8" t="s">
        <v>819</v>
      </c>
      <c r="F357" s="8">
        <f t="shared" si="31"/>
        <v>0</v>
      </c>
      <c r="G357" s="8">
        <f t="shared" si="31"/>
        <v>0</v>
      </c>
      <c r="H357" s="8">
        <f t="shared" si="31"/>
        <v>0</v>
      </c>
      <c r="I357" s="8">
        <f t="shared" si="31"/>
        <v>9</v>
      </c>
      <c r="J357" s="8">
        <f t="shared" si="33"/>
        <v>0</v>
      </c>
      <c r="K357" s="15">
        <v>1.0648148163454607E-3</v>
      </c>
      <c r="M357" s="8">
        <f t="shared" si="34"/>
        <v>452</v>
      </c>
      <c r="N357" s="9" t="s">
        <v>63</v>
      </c>
      <c r="O357" s="9" t="s">
        <v>16</v>
      </c>
      <c r="P357" s="9">
        <v>1696</v>
      </c>
      <c r="Q357" s="9">
        <v>304</v>
      </c>
      <c r="R357" s="8" t="s">
        <v>17</v>
      </c>
      <c r="S357" s="11">
        <v>64</v>
      </c>
      <c r="T357" s="10">
        <v>0.27</v>
      </c>
    </row>
    <row r="358" spans="1:20" x14ac:dyDescent="0.3">
      <c r="A358" s="7">
        <f t="shared" si="35"/>
        <v>353</v>
      </c>
      <c r="B358" s="8">
        <v>409</v>
      </c>
      <c r="C358" s="9" t="str">
        <f t="shared" si="32"/>
        <v>4530x85185fe3A4e36079818Ba1d12705A9B6898997040xa60AdD2af71a4f50b3F94509E71a1e9DbDeA5dDa1368362unidade2210027</v>
      </c>
      <c r="D358" s="13" t="s">
        <v>420</v>
      </c>
      <c r="E358" s="8" t="s">
        <v>820</v>
      </c>
      <c r="F358" s="8">
        <f t="shared" si="31"/>
        <v>0</v>
      </c>
      <c r="G358" s="8">
        <f t="shared" si="31"/>
        <v>0</v>
      </c>
      <c r="H358" s="8">
        <f t="shared" si="31"/>
        <v>0</v>
      </c>
      <c r="I358" s="8">
        <f t="shared" si="31"/>
        <v>1</v>
      </c>
      <c r="J358" s="8">
        <f t="shared" si="33"/>
        <v>0</v>
      </c>
      <c r="K358" s="15">
        <v>9.2592592409346253E-5</v>
      </c>
      <c r="M358" s="8">
        <f t="shared" si="34"/>
        <v>453</v>
      </c>
      <c r="N358" s="9" t="s">
        <v>63</v>
      </c>
      <c r="O358" s="9" t="s">
        <v>16</v>
      </c>
      <c r="P358" s="9">
        <v>1368</v>
      </c>
      <c r="Q358" s="9">
        <v>362</v>
      </c>
      <c r="R358" s="8" t="s">
        <v>17</v>
      </c>
      <c r="S358" s="11">
        <v>221</v>
      </c>
      <c r="T358" s="10">
        <v>0.27</v>
      </c>
    </row>
    <row r="359" spans="1:20" x14ac:dyDescent="0.3">
      <c r="A359" s="7">
        <f t="shared" si="35"/>
        <v>354</v>
      </c>
      <c r="B359" s="8">
        <v>2108</v>
      </c>
      <c r="C359" s="9" t="str">
        <f t="shared" si="32"/>
        <v>4540x85185fe3A4e36079818Ba1d12705A9B6898997040xa60AdD2af71a4f50b3F94509E71a1e9DbDeA5dDa1767250unidade1810027</v>
      </c>
      <c r="D359" s="13" t="s">
        <v>421</v>
      </c>
      <c r="E359" s="8" t="s">
        <v>821</v>
      </c>
      <c r="F359" s="8">
        <f t="shared" si="31"/>
        <v>0</v>
      </c>
      <c r="G359" s="8">
        <f t="shared" si="31"/>
        <v>0</v>
      </c>
      <c r="H359" s="8">
        <f t="shared" si="31"/>
        <v>0</v>
      </c>
      <c r="I359" s="8">
        <f t="shared" si="31"/>
        <v>1</v>
      </c>
      <c r="J359" s="8">
        <f t="shared" si="33"/>
        <v>0</v>
      </c>
      <c r="K359" s="15">
        <v>4.2824073898373172E-4</v>
      </c>
      <c r="M359" s="8">
        <f t="shared" si="34"/>
        <v>454</v>
      </c>
      <c r="N359" s="9" t="s">
        <v>63</v>
      </c>
      <c r="O359" s="9" t="s">
        <v>16</v>
      </c>
      <c r="P359" s="9">
        <v>1767</v>
      </c>
      <c r="Q359" s="9">
        <v>250</v>
      </c>
      <c r="R359" s="8" t="s">
        <v>17</v>
      </c>
      <c r="S359" s="11">
        <v>181</v>
      </c>
      <c r="T359" s="10">
        <v>0.27</v>
      </c>
    </row>
    <row r="360" spans="1:20" x14ac:dyDescent="0.3">
      <c r="A360" s="7">
        <f t="shared" si="35"/>
        <v>355</v>
      </c>
      <c r="B360" s="8">
        <v>755</v>
      </c>
      <c r="C360" s="9" t="str">
        <f t="shared" si="32"/>
        <v>4550x85185fe3A4e36079818Ba1d12705A9B6898997040xa60AdD2af71a4f50b3F94509E71a1e9DbDeA5dDa1420104unidade1770027</v>
      </c>
      <c r="D360" s="13" t="s">
        <v>422</v>
      </c>
      <c r="E360" s="8" t="s">
        <v>822</v>
      </c>
      <c r="F360" s="8">
        <f t="shared" si="31"/>
        <v>0</v>
      </c>
      <c r="G360" s="8">
        <f t="shared" si="31"/>
        <v>0</v>
      </c>
      <c r="H360" s="8">
        <f t="shared" si="31"/>
        <v>0</v>
      </c>
      <c r="I360" s="8">
        <f t="shared" si="31"/>
        <v>3</v>
      </c>
      <c r="J360" s="8">
        <f t="shared" si="33"/>
        <v>0</v>
      </c>
      <c r="K360" s="15">
        <v>1.5046296175569296E-4</v>
      </c>
      <c r="M360" s="8">
        <f t="shared" si="34"/>
        <v>455</v>
      </c>
      <c r="N360" s="9" t="s">
        <v>63</v>
      </c>
      <c r="O360" s="9" t="s">
        <v>16</v>
      </c>
      <c r="P360" s="9">
        <v>1420</v>
      </c>
      <c r="Q360" s="9">
        <v>104</v>
      </c>
      <c r="R360" s="8" t="s">
        <v>17</v>
      </c>
      <c r="S360" s="11">
        <v>177</v>
      </c>
      <c r="T360" s="10">
        <v>0.27</v>
      </c>
    </row>
    <row r="361" spans="1:20" x14ac:dyDescent="0.3">
      <c r="A361" s="7">
        <f t="shared" si="35"/>
        <v>356</v>
      </c>
      <c r="B361" s="8">
        <v>10467</v>
      </c>
      <c r="C361" s="9" t="str">
        <f t="shared" si="32"/>
        <v>4560x85185fe3A4e36079818Ba1d12705A9B6898997040xa60AdD2af71a4f50b3F94509E71a1e9DbDeA5dDa1867449unidade1480027</v>
      </c>
      <c r="D361" s="13" t="s">
        <v>423</v>
      </c>
      <c r="E361" s="8" t="s">
        <v>823</v>
      </c>
      <c r="F361" s="8">
        <f t="shared" ref="F361:I407" si="36">IFERROR(VALUE(MID($E361,F$1,1)),1)</f>
        <v>0</v>
      </c>
      <c r="G361" s="8">
        <f t="shared" si="36"/>
        <v>0</v>
      </c>
      <c r="H361" s="8">
        <f t="shared" si="36"/>
        <v>0</v>
      </c>
      <c r="I361" s="8">
        <f t="shared" si="36"/>
        <v>9</v>
      </c>
      <c r="J361" s="8">
        <f t="shared" si="33"/>
        <v>0</v>
      </c>
      <c r="K361" s="15">
        <v>2.1875000020372681E-3</v>
      </c>
      <c r="M361" s="8">
        <f t="shared" si="34"/>
        <v>456</v>
      </c>
      <c r="N361" s="9" t="s">
        <v>63</v>
      </c>
      <c r="O361" s="9" t="s">
        <v>16</v>
      </c>
      <c r="P361" s="9">
        <v>1867</v>
      </c>
      <c r="Q361" s="9">
        <v>449</v>
      </c>
      <c r="R361" s="8" t="s">
        <v>17</v>
      </c>
      <c r="S361" s="11">
        <v>148</v>
      </c>
      <c r="T361" s="10">
        <v>0.27</v>
      </c>
    </row>
    <row r="362" spans="1:20" x14ac:dyDescent="0.3">
      <c r="A362" s="7">
        <f t="shared" si="35"/>
        <v>357</v>
      </c>
      <c r="B362" s="8">
        <v>5371</v>
      </c>
      <c r="C362" s="9" t="str">
        <f t="shared" ref="C362:C425" si="37">M362&amp;N362&amp;O362&amp;P362&amp;Q362&amp;R362&amp;(S362*100)&amp;(T362*100)</f>
        <v>4570x85185fe3A4e36079818Ba1d12705A9B6898997040xa60AdD2af71a4f50b3F94509E71a1e9DbDeA5dDa1897499unidade1040027</v>
      </c>
      <c r="D362" s="13" t="s">
        <v>424</v>
      </c>
      <c r="E362" s="8" t="s">
        <v>824</v>
      </c>
      <c r="F362" s="8">
        <f t="shared" si="36"/>
        <v>0</v>
      </c>
      <c r="G362" s="8">
        <f t="shared" si="36"/>
        <v>0</v>
      </c>
      <c r="H362" s="8">
        <f t="shared" si="36"/>
        <v>0</v>
      </c>
      <c r="I362" s="8">
        <f t="shared" si="36"/>
        <v>1</v>
      </c>
      <c r="J362" s="8">
        <f t="shared" ref="J362:J405" si="38">SUM(F362:H362)</f>
        <v>0</v>
      </c>
      <c r="K362" s="15">
        <v>1.1226851784158498E-3</v>
      </c>
      <c r="M362" s="8">
        <f t="shared" si="34"/>
        <v>457</v>
      </c>
      <c r="N362" s="9" t="s">
        <v>63</v>
      </c>
      <c r="O362" s="9" t="s">
        <v>16</v>
      </c>
      <c r="P362" s="9">
        <v>1897</v>
      </c>
      <c r="Q362" s="9">
        <v>499</v>
      </c>
      <c r="R362" s="8" t="s">
        <v>17</v>
      </c>
      <c r="S362" s="11">
        <v>104</v>
      </c>
      <c r="T362" s="10">
        <v>0.27</v>
      </c>
    </row>
    <row r="363" spans="1:20" x14ac:dyDescent="0.3">
      <c r="A363" s="7">
        <f t="shared" si="35"/>
        <v>358</v>
      </c>
      <c r="B363" s="8">
        <v>813</v>
      </c>
      <c r="C363" s="9" t="str">
        <f t="shared" si="37"/>
        <v>4580x85185fe3A4e36079818Ba1d12705A9B6898997040xa60AdD2af71a4f50b3F94509E71a1e9DbDeA5dDa1158221unidade1850027</v>
      </c>
      <c r="D363" s="13" t="s">
        <v>425</v>
      </c>
      <c r="E363" s="8" t="s">
        <v>825</v>
      </c>
      <c r="F363" s="8">
        <f t="shared" si="36"/>
        <v>0</v>
      </c>
      <c r="G363" s="8">
        <f t="shared" si="36"/>
        <v>0</v>
      </c>
      <c r="H363" s="8">
        <f t="shared" si="36"/>
        <v>0</v>
      </c>
      <c r="I363" s="8">
        <f t="shared" si="36"/>
        <v>6</v>
      </c>
      <c r="J363" s="8">
        <f t="shared" si="38"/>
        <v>0</v>
      </c>
      <c r="K363" s="15">
        <v>1.6203703853534535E-4</v>
      </c>
      <c r="M363" s="8">
        <f t="shared" si="34"/>
        <v>458</v>
      </c>
      <c r="N363" s="9" t="s">
        <v>63</v>
      </c>
      <c r="O363" s="9" t="s">
        <v>16</v>
      </c>
      <c r="P363" s="9">
        <v>1158</v>
      </c>
      <c r="Q363" s="9">
        <v>221</v>
      </c>
      <c r="R363" s="8" t="s">
        <v>17</v>
      </c>
      <c r="S363" s="11">
        <v>185</v>
      </c>
      <c r="T363" s="10">
        <v>0.27</v>
      </c>
    </row>
    <row r="364" spans="1:20" x14ac:dyDescent="0.3">
      <c r="A364" s="7">
        <f t="shared" si="35"/>
        <v>359</v>
      </c>
      <c r="B364" s="8">
        <v>1321</v>
      </c>
      <c r="C364" s="9" t="str">
        <f t="shared" si="37"/>
        <v>4590x85185fe3A4e36079818Ba1d12705A9B6898997040xa60AdD2af71a4f50b3F94509E71a1e9DbDeA5dDa1454494unidade2180027</v>
      </c>
      <c r="D364" s="13" t="s">
        <v>426</v>
      </c>
      <c r="E364" s="8" t="s">
        <v>826</v>
      </c>
      <c r="F364" s="8">
        <f t="shared" si="36"/>
        <v>0</v>
      </c>
      <c r="G364" s="8">
        <f t="shared" si="36"/>
        <v>0</v>
      </c>
      <c r="H364" s="8">
        <f t="shared" si="36"/>
        <v>0</v>
      </c>
      <c r="I364" s="8">
        <f t="shared" si="36"/>
        <v>1</v>
      </c>
      <c r="J364" s="8">
        <f t="shared" si="38"/>
        <v>0</v>
      </c>
      <c r="K364" s="15">
        <v>2.7777777722803876E-4</v>
      </c>
      <c r="M364" s="8">
        <f t="shared" si="34"/>
        <v>459</v>
      </c>
      <c r="N364" s="9" t="s">
        <v>63</v>
      </c>
      <c r="O364" s="9" t="s">
        <v>16</v>
      </c>
      <c r="P364" s="9">
        <v>1454</v>
      </c>
      <c r="Q364" s="9">
        <v>494</v>
      </c>
      <c r="R364" s="8" t="s">
        <v>17</v>
      </c>
      <c r="S364" s="11">
        <v>218</v>
      </c>
      <c r="T364" s="10">
        <v>0.27</v>
      </c>
    </row>
    <row r="365" spans="1:20" x14ac:dyDescent="0.3">
      <c r="A365" s="7">
        <f t="shared" si="35"/>
        <v>360</v>
      </c>
      <c r="B365" s="8">
        <v>6255</v>
      </c>
      <c r="C365" s="9" t="str">
        <f t="shared" si="37"/>
        <v>4600x85185fe3A4e36079818Ba1d12705A9B6898997040xa60AdD2af71a4f50b3F94509E71a1e9DbDeA5dDa1273461unidade820027</v>
      </c>
      <c r="D365" s="13" t="s">
        <v>427</v>
      </c>
      <c r="E365" s="8" t="s">
        <v>827</v>
      </c>
      <c r="F365" s="8">
        <f t="shared" si="36"/>
        <v>0</v>
      </c>
      <c r="G365" s="8">
        <f t="shared" si="36"/>
        <v>0</v>
      </c>
      <c r="H365" s="8">
        <f t="shared" si="36"/>
        <v>0</v>
      </c>
      <c r="I365" s="8">
        <f t="shared" si="36"/>
        <v>1</v>
      </c>
      <c r="J365" s="8">
        <f t="shared" si="38"/>
        <v>0</v>
      </c>
      <c r="K365" s="15">
        <v>1.2847222242271528E-3</v>
      </c>
      <c r="M365" s="8">
        <f t="shared" si="34"/>
        <v>460</v>
      </c>
      <c r="N365" s="9" t="s">
        <v>63</v>
      </c>
      <c r="O365" s="9" t="s">
        <v>16</v>
      </c>
      <c r="P365" s="9">
        <v>1273</v>
      </c>
      <c r="Q365" s="9">
        <v>461</v>
      </c>
      <c r="R365" s="8" t="s">
        <v>17</v>
      </c>
      <c r="S365" s="11">
        <v>82</v>
      </c>
      <c r="T365" s="10">
        <v>0.27</v>
      </c>
    </row>
    <row r="366" spans="1:20" x14ac:dyDescent="0.3">
      <c r="A366" s="7">
        <f t="shared" si="35"/>
        <v>361</v>
      </c>
      <c r="B366" s="8">
        <v>956</v>
      </c>
      <c r="C366" s="9" t="str">
        <f t="shared" si="37"/>
        <v>4610x85185fe3A4e36079818Ba1d12705A9B6898997040xa60AdD2af71a4f50b3F94509E71a1e9DbDeA5dDa1446496unidade1880027</v>
      </c>
      <c r="D366" s="13" t="s">
        <v>428</v>
      </c>
      <c r="E366" s="8" t="s">
        <v>828</v>
      </c>
      <c r="F366" s="8">
        <f t="shared" si="36"/>
        <v>0</v>
      </c>
      <c r="G366" s="8">
        <f t="shared" si="36"/>
        <v>0</v>
      </c>
      <c r="H366" s="8">
        <f t="shared" si="36"/>
        <v>0</v>
      </c>
      <c r="I366" s="8">
        <f t="shared" si="36"/>
        <v>0</v>
      </c>
      <c r="J366" s="8">
        <f t="shared" si="38"/>
        <v>0</v>
      </c>
      <c r="K366" s="15">
        <v>1.9675926159834489E-4</v>
      </c>
      <c r="M366" s="8">
        <f t="shared" si="34"/>
        <v>461</v>
      </c>
      <c r="N366" s="9" t="s">
        <v>63</v>
      </c>
      <c r="O366" s="9" t="s">
        <v>16</v>
      </c>
      <c r="P366" s="9">
        <v>1446</v>
      </c>
      <c r="Q366" s="9">
        <v>496</v>
      </c>
      <c r="R366" s="8" t="s">
        <v>17</v>
      </c>
      <c r="S366" s="11">
        <v>188</v>
      </c>
      <c r="T366" s="10">
        <v>0.27</v>
      </c>
    </row>
    <row r="367" spans="1:20" x14ac:dyDescent="0.3">
      <c r="A367" s="7">
        <f t="shared" si="35"/>
        <v>362</v>
      </c>
      <c r="B367" s="8">
        <v>2637</v>
      </c>
      <c r="C367" s="9" t="str">
        <f t="shared" si="37"/>
        <v>4620x85185fe3A4e36079818Ba1d12705A9B6898997040xa60AdD2af71a4f50b3F94509E71a1e9DbDeA5dDa1763489unidade2240027</v>
      </c>
      <c r="D367" s="13" t="s">
        <v>429</v>
      </c>
      <c r="E367" s="8" t="s">
        <v>829</v>
      </c>
      <c r="F367" s="8">
        <f t="shared" si="36"/>
        <v>0</v>
      </c>
      <c r="G367" s="8">
        <f t="shared" si="36"/>
        <v>0</v>
      </c>
      <c r="H367" s="8">
        <f t="shared" si="36"/>
        <v>0</v>
      </c>
      <c r="I367" s="8">
        <f t="shared" si="36"/>
        <v>1</v>
      </c>
      <c r="J367" s="8">
        <f t="shared" si="38"/>
        <v>0</v>
      </c>
      <c r="K367" s="15">
        <v>5.4398147767642513E-4</v>
      </c>
      <c r="M367" s="8">
        <f t="shared" si="34"/>
        <v>462</v>
      </c>
      <c r="N367" s="9" t="s">
        <v>63</v>
      </c>
      <c r="O367" s="9" t="s">
        <v>16</v>
      </c>
      <c r="P367" s="9">
        <v>1763</v>
      </c>
      <c r="Q367" s="9">
        <v>489</v>
      </c>
      <c r="R367" s="8" t="s">
        <v>17</v>
      </c>
      <c r="S367" s="11">
        <v>224</v>
      </c>
      <c r="T367" s="10">
        <v>0.27</v>
      </c>
    </row>
    <row r="368" spans="1:20" x14ac:dyDescent="0.3">
      <c r="A368" s="7">
        <f t="shared" si="35"/>
        <v>363</v>
      </c>
      <c r="B368" s="8">
        <v>2605</v>
      </c>
      <c r="C368" s="9" t="str">
        <f t="shared" si="37"/>
        <v>4630x85185fe3A4e36079818Ba1d12705A9B6898997040xa60AdD2af71a4f50b3F94509E71a1e9DbDeA5dDa1524470unidade2140027</v>
      </c>
      <c r="D368" s="13" t="s">
        <v>430</v>
      </c>
      <c r="E368" s="8" t="s">
        <v>830</v>
      </c>
      <c r="F368" s="8">
        <f t="shared" si="36"/>
        <v>0</v>
      </c>
      <c r="G368" s="8">
        <f t="shared" si="36"/>
        <v>0</v>
      </c>
      <c r="H368" s="8">
        <f t="shared" si="36"/>
        <v>0</v>
      </c>
      <c r="I368" s="8">
        <f t="shared" si="36"/>
        <v>3</v>
      </c>
      <c r="J368" s="8">
        <f t="shared" si="38"/>
        <v>0</v>
      </c>
      <c r="K368" s="15">
        <v>5.4398147767642513E-4</v>
      </c>
      <c r="M368" s="8">
        <f t="shared" si="34"/>
        <v>463</v>
      </c>
      <c r="N368" s="9" t="s">
        <v>63</v>
      </c>
      <c r="O368" s="9" t="s">
        <v>16</v>
      </c>
      <c r="P368" s="9">
        <v>1524</v>
      </c>
      <c r="Q368" s="9">
        <v>470</v>
      </c>
      <c r="R368" s="8" t="s">
        <v>17</v>
      </c>
      <c r="S368" s="11">
        <v>214</v>
      </c>
      <c r="T368" s="10">
        <v>0.27</v>
      </c>
    </row>
    <row r="369" spans="1:20" x14ac:dyDescent="0.3">
      <c r="A369" s="7">
        <f t="shared" si="35"/>
        <v>364</v>
      </c>
      <c r="B369" s="8">
        <v>3491</v>
      </c>
      <c r="C369" s="9" t="str">
        <f t="shared" si="37"/>
        <v>4640x85185fe3A4e36079818Ba1d12705A9B6898997040xa60AdD2af71a4f50b3F94509E71a1e9DbDeA5dDa1443380unidade1510027</v>
      </c>
      <c r="D369" s="13" t="s">
        <v>431</v>
      </c>
      <c r="E369" s="8" t="s">
        <v>831</v>
      </c>
      <c r="F369" s="8">
        <f t="shared" si="36"/>
        <v>0</v>
      </c>
      <c r="G369" s="8">
        <f t="shared" si="36"/>
        <v>0</v>
      </c>
      <c r="H369" s="8">
        <f t="shared" si="36"/>
        <v>0</v>
      </c>
      <c r="I369" s="8">
        <f t="shared" si="36"/>
        <v>6</v>
      </c>
      <c r="J369" s="8">
        <f t="shared" si="38"/>
        <v>0</v>
      </c>
      <c r="K369" s="15">
        <v>7.1759259299142286E-4</v>
      </c>
      <c r="M369" s="8">
        <f t="shared" si="34"/>
        <v>464</v>
      </c>
      <c r="N369" s="9" t="s">
        <v>63</v>
      </c>
      <c r="O369" s="9" t="s">
        <v>16</v>
      </c>
      <c r="P369" s="9">
        <v>1443</v>
      </c>
      <c r="Q369" s="9">
        <v>380</v>
      </c>
      <c r="R369" s="8" t="s">
        <v>17</v>
      </c>
      <c r="S369" s="11">
        <v>151</v>
      </c>
      <c r="T369" s="10">
        <v>0.27</v>
      </c>
    </row>
    <row r="370" spans="1:20" x14ac:dyDescent="0.3">
      <c r="A370" s="7">
        <f t="shared" si="35"/>
        <v>365</v>
      </c>
      <c r="B370" s="8">
        <v>222</v>
      </c>
      <c r="C370" s="9" t="str">
        <f t="shared" si="37"/>
        <v>4650x85185fe3A4e36079818Ba1d12705A9B6898997040xa60AdD2af71a4f50b3F94509E71a1e9DbDeA5dDa1086283unidade2200027</v>
      </c>
      <c r="D370" s="13" t="s">
        <v>432</v>
      </c>
      <c r="E370" s="8" t="s">
        <v>832</v>
      </c>
      <c r="F370" s="8">
        <f t="shared" si="36"/>
        <v>0</v>
      </c>
      <c r="G370" s="8">
        <f t="shared" si="36"/>
        <v>0</v>
      </c>
      <c r="H370" s="8">
        <f t="shared" si="36"/>
        <v>0</v>
      </c>
      <c r="I370" s="8">
        <f t="shared" si="36"/>
        <v>1</v>
      </c>
      <c r="J370" s="8">
        <f t="shared" si="38"/>
        <v>0</v>
      </c>
      <c r="K370" s="15">
        <v>4.6296299842651933E-5</v>
      </c>
      <c r="M370" s="8">
        <f t="shared" si="34"/>
        <v>465</v>
      </c>
      <c r="N370" s="9" t="s">
        <v>63</v>
      </c>
      <c r="O370" s="9" t="s">
        <v>16</v>
      </c>
      <c r="P370" s="9">
        <v>1086</v>
      </c>
      <c r="Q370" s="9">
        <v>283</v>
      </c>
      <c r="R370" s="8" t="s">
        <v>17</v>
      </c>
      <c r="S370" s="11">
        <v>220</v>
      </c>
      <c r="T370" s="10">
        <v>0.27</v>
      </c>
    </row>
    <row r="371" spans="1:20" x14ac:dyDescent="0.3">
      <c r="A371" s="7">
        <f t="shared" si="35"/>
        <v>366</v>
      </c>
      <c r="B371" s="8">
        <v>9593</v>
      </c>
      <c r="C371" s="9" t="str">
        <f t="shared" si="37"/>
        <v>4660x85185fe3A4e36079818Ba1d12705A9B6898997040xa60AdD2af71a4f50b3F94509E71a1e9DbDeA5dDa1959173unidade2090027</v>
      </c>
      <c r="D371" s="13" t="s">
        <v>433</v>
      </c>
      <c r="E371" s="8" t="s">
        <v>833</v>
      </c>
      <c r="F371" s="8">
        <f t="shared" si="36"/>
        <v>0</v>
      </c>
      <c r="G371" s="8">
        <f t="shared" si="36"/>
        <v>0</v>
      </c>
      <c r="H371" s="8">
        <f t="shared" si="36"/>
        <v>0</v>
      </c>
      <c r="I371" s="8">
        <f t="shared" si="36"/>
        <v>9</v>
      </c>
      <c r="J371" s="8">
        <f t="shared" si="38"/>
        <v>0</v>
      </c>
      <c r="K371" s="15">
        <v>1.9791666636592709E-3</v>
      </c>
      <c r="M371" s="8">
        <f t="shared" si="34"/>
        <v>466</v>
      </c>
      <c r="N371" s="9" t="s">
        <v>63</v>
      </c>
      <c r="O371" s="9" t="s">
        <v>16</v>
      </c>
      <c r="P371" s="9">
        <v>1959</v>
      </c>
      <c r="Q371" s="9">
        <v>173</v>
      </c>
      <c r="R371" s="8" t="s">
        <v>17</v>
      </c>
      <c r="S371" s="11">
        <v>209</v>
      </c>
      <c r="T371" s="10">
        <v>0.27</v>
      </c>
    </row>
    <row r="372" spans="1:20" x14ac:dyDescent="0.3">
      <c r="A372" s="7">
        <f t="shared" si="35"/>
        <v>367</v>
      </c>
      <c r="B372" s="8">
        <v>5758</v>
      </c>
      <c r="C372" s="9" t="str">
        <f t="shared" si="37"/>
        <v>4670x85185fe3A4e36079818Ba1d12705A9B6898997040xa60AdD2af71a4f50b3F94509E71a1e9DbDeA5dDa1084280unidade1320027</v>
      </c>
      <c r="D372" s="13" t="s">
        <v>434</v>
      </c>
      <c r="E372" s="8" t="s">
        <v>834</v>
      </c>
      <c r="F372" s="8">
        <f t="shared" si="36"/>
        <v>0</v>
      </c>
      <c r="G372" s="8">
        <f t="shared" si="36"/>
        <v>0</v>
      </c>
      <c r="H372" s="8">
        <f t="shared" si="36"/>
        <v>0</v>
      </c>
      <c r="I372" s="8">
        <f t="shared" si="36"/>
        <v>5</v>
      </c>
      <c r="J372" s="8">
        <f t="shared" si="38"/>
        <v>0</v>
      </c>
      <c r="K372" s="15">
        <v>1.1921296318178065E-3</v>
      </c>
      <c r="M372" s="8">
        <f t="shared" si="34"/>
        <v>467</v>
      </c>
      <c r="N372" s="9" t="s">
        <v>63</v>
      </c>
      <c r="O372" s="9" t="s">
        <v>16</v>
      </c>
      <c r="P372" s="9">
        <v>1084</v>
      </c>
      <c r="Q372" s="9">
        <v>280</v>
      </c>
      <c r="R372" s="8" t="s">
        <v>17</v>
      </c>
      <c r="S372" s="11">
        <v>132</v>
      </c>
      <c r="T372" s="10">
        <v>0.27</v>
      </c>
    </row>
    <row r="373" spans="1:20" x14ac:dyDescent="0.3">
      <c r="A373" s="7">
        <f t="shared" si="35"/>
        <v>368</v>
      </c>
      <c r="B373" s="8">
        <v>6586</v>
      </c>
      <c r="C373" s="9" t="str">
        <f t="shared" si="37"/>
        <v>4680x85185fe3A4e36079818Ba1d12705A9B6898997040xa60AdD2af71a4f50b3F94509E71a1e9DbDeA5dDa1902377unidade1190027</v>
      </c>
      <c r="D373" s="13" t="s">
        <v>435</v>
      </c>
      <c r="E373" s="8" t="s">
        <v>835</v>
      </c>
      <c r="F373" s="8">
        <f t="shared" si="36"/>
        <v>0</v>
      </c>
      <c r="G373" s="8">
        <f t="shared" si="36"/>
        <v>0</v>
      </c>
      <c r="H373" s="8">
        <f t="shared" si="36"/>
        <v>0</v>
      </c>
      <c r="I373" s="8">
        <f t="shared" si="36"/>
        <v>1</v>
      </c>
      <c r="J373" s="8">
        <f t="shared" si="38"/>
        <v>0</v>
      </c>
      <c r="K373" s="15">
        <v>1.3657407398568466E-3</v>
      </c>
      <c r="M373" s="8">
        <f t="shared" si="34"/>
        <v>468</v>
      </c>
      <c r="N373" s="9" t="s">
        <v>63</v>
      </c>
      <c r="O373" s="9" t="s">
        <v>16</v>
      </c>
      <c r="P373" s="9">
        <v>1902</v>
      </c>
      <c r="Q373" s="9">
        <v>377</v>
      </c>
      <c r="R373" s="8" t="s">
        <v>17</v>
      </c>
      <c r="S373" s="11">
        <v>119</v>
      </c>
      <c r="T373" s="10">
        <v>0.27</v>
      </c>
    </row>
    <row r="374" spans="1:20" x14ac:dyDescent="0.3">
      <c r="A374" s="7">
        <f t="shared" si="35"/>
        <v>369</v>
      </c>
      <c r="B374" s="8">
        <v>1063</v>
      </c>
      <c r="C374" s="9" t="str">
        <f t="shared" si="37"/>
        <v>4690x85185fe3A4e36079818Ba1d12705A9B6898997040xa60AdD2af71a4f50b3F94509E71a1e9DbDeA5dDa1376158unidade1030027</v>
      </c>
      <c r="D374" s="13" t="s">
        <v>436</v>
      </c>
      <c r="E374" s="8" t="s">
        <v>836</v>
      </c>
      <c r="F374" s="8">
        <f t="shared" si="36"/>
        <v>0</v>
      </c>
      <c r="G374" s="8">
        <f t="shared" si="36"/>
        <v>0</v>
      </c>
      <c r="H374" s="8">
        <f t="shared" si="36"/>
        <v>0</v>
      </c>
      <c r="I374" s="8">
        <f t="shared" si="36"/>
        <v>3</v>
      </c>
      <c r="J374" s="8">
        <f t="shared" si="38"/>
        <v>0</v>
      </c>
      <c r="K374" s="15">
        <v>2.0833333110203966E-4</v>
      </c>
      <c r="M374" s="8">
        <f t="shared" si="34"/>
        <v>469</v>
      </c>
      <c r="N374" s="9" t="s">
        <v>63</v>
      </c>
      <c r="O374" s="9" t="s">
        <v>16</v>
      </c>
      <c r="P374" s="9">
        <v>1376</v>
      </c>
      <c r="Q374" s="9">
        <v>158</v>
      </c>
      <c r="R374" s="8" t="s">
        <v>17</v>
      </c>
      <c r="S374" s="11">
        <v>103</v>
      </c>
      <c r="T374" s="10">
        <v>0.27</v>
      </c>
    </row>
    <row r="375" spans="1:20" x14ac:dyDescent="0.3">
      <c r="A375" s="7">
        <f t="shared" si="35"/>
        <v>370</v>
      </c>
      <c r="B375" s="8">
        <v>7258</v>
      </c>
      <c r="C375" s="9" t="str">
        <f t="shared" si="37"/>
        <v>4700x85185fe3A4e36079818Ba1d12705A9B6898997040xa60AdD2af71a4f50b3F94509E71a1e9DbDeA5dDa1122353unidade1850027</v>
      </c>
      <c r="D375" s="13" t="s">
        <v>437</v>
      </c>
      <c r="E375" s="8" t="s">
        <v>837</v>
      </c>
      <c r="F375" s="8">
        <f t="shared" si="36"/>
        <v>0</v>
      </c>
      <c r="G375" s="8">
        <f t="shared" si="36"/>
        <v>0</v>
      </c>
      <c r="H375" s="8">
        <f t="shared" si="36"/>
        <v>0</v>
      </c>
      <c r="I375" s="8">
        <f t="shared" si="36"/>
        <v>0</v>
      </c>
      <c r="J375" s="8">
        <f t="shared" si="38"/>
        <v>0</v>
      </c>
      <c r="K375" s="15">
        <v>1.5046296321088448E-3</v>
      </c>
      <c r="M375" s="8">
        <f t="shared" si="34"/>
        <v>470</v>
      </c>
      <c r="N375" s="9" t="s">
        <v>63</v>
      </c>
      <c r="O375" s="9" t="s">
        <v>16</v>
      </c>
      <c r="P375" s="9">
        <v>1122</v>
      </c>
      <c r="Q375" s="9">
        <v>353</v>
      </c>
      <c r="R375" s="8" t="s">
        <v>17</v>
      </c>
      <c r="S375" s="11">
        <v>185</v>
      </c>
      <c r="T375" s="10">
        <v>0.27</v>
      </c>
    </row>
    <row r="376" spans="1:20" x14ac:dyDescent="0.3">
      <c r="A376" s="7">
        <f t="shared" si="35"/>
        <v>371</v>
      </c>
      <c r="B376" s="8">
        <v>3369</v>
      </c>
      <c r="C376" s="9" t="str">
        <f t="shared" si="37"/>
        <v>4710x85185fe3A4e36079818Ba1d12705A9B6898997040xa60AdD2af71a4f50b3F94509E71a1e9DbDeA5dDa1307485unidade680027</v>
      </c>
      <c r="D376" s="13" t="s">
        <v>438</v>
      </c>
      <c r="E376" s="8" t="s">
        <v>838</v>
      </c>
      <c r="F376" s="8">
        <f t="shared" si="36"/>
        <v>0</v>
      </c>
      <c r="G376" s="8">
        <f t="shared" si="36"/>
        <v>0</v>
      </c>
      <c r="H376" s="8">
        <f t="shared" si="36"/>
        <v>0</v>
      </c>
      <c r="I376" s="8">
        <f t="shared" si="36"/>
        <v>1</v>
      </c>
      <c r="J376" s="8">
        <f t="shared" si="38"/>
        <v>0</v>
      </c>
      <c r="K376" s="15">
        <v>6.9444443943211809E-4</v>
      </c>
      <c r="M376" s="8">
        <f t="shared" si="34"/>
        <v>471</v>
      </c>
      <c r="N376" s="9" t="s">
        <v>63</v>
      </c>
      <c r="O376" s="9" t="s">
        <v>16</v>
      </c>
      <c r="P376" s="9">
        <v>1307</v>
      </c>
      <c r="Q376" s="9">
        <v>485</v>
      </c>
      <c r="R376" s="8" t="s">
        <v>17</v>
      </c>
      <c r="S376" s="11">
        <v>68</v>
      </c>
      <c r="T376" s="10">
        <v>0.27</v>
      </c>
    </row>
    <row r="377" spans="1:20" x14ac:dyDescent="0.3">
      <c r="A377" s="7">
        <f t="shared" si="35"/>
        <v>372</v>
      </c>
      <c r="B377" s="8">
        <v>1256</v>
      </c>
      <c r="C377" s="9" t="str">
        <f t="shared" si="37"/>
        <v>4720x85185fe3A4e36079818Ba1d12705A9B6898997040xa60AdD2af71a4f50b3F94509E71a1e9DbDeA5dDa1918224unidade1060027</v>
      </c>
      <c r="D377" s="13" t="s">
        <v>439</v>
      </c>
      <c r="E377" s="8" t="s">
        <v>839</v>
      </c>
      <c r="F377" s="8">
        <f t="shared" si="36"/>
        <v>0</v>
      </c>
      <c r="G377" s="8">
        <f t="shared" si="36"/>
        <v>0</v>
      </c>
      <c r="H377" s="8">
        <f t="shared" si="36"/>
        <v>0</v>
      </c>
      <c r="I377" s="8">
        <f t="shared" si="36"/>
        <v>3</v>
      </c>
      <c r="J377" s="8">
        <f t="shared" si="38"/>
        <v>0</v>
      </c>
      <c r="K377" s="15">
        <v>2.6620370772434399E-4</v>
      </c>
      <c r="M377" s="8">
        <f t="shared" si="34"/>
        <v>472</v>
      </c>
      <c r="N377" s="9" t="s">
        <v>63</v>
      </c>
      <c r="O377" s="9" t="s">
        <v>16</v>
      </c>
      <c r="P377" s="9">
        <v>1918</v>
      </c>
      <c r="Q377" s="9">
        <v>224</v>
      </c>
      <c r="R377" s="8" t="s">
        <v>17</v>
      </c>
      <c r="S377" s="11">
        <v>106</v>
      </c>
      <c r="T377" s="10">
        <v>0.27</v>
      </c>
    </row>
    <row r="378" spans="1:20" x14ac:dyDescent="0.3">
      <c r="A378" s="7">
        <f t="shared" si="35"/>
        <v>373</v>
      </c>
      <c r="B378" s="8">
        <v>7786</v>
      </c>
      <c r="C378" s="9" t="str">
        <f t="shared" si="37"/>
        <v>4730x85185fe3A4e36079818Ba1d12705A9B6898997040xa60AdD2af71a4f50b3F94509E71a1e9DbDeA5dDa1796125unidade1170027</v>
      </c>
      <c r="D378" s="13" t="s">
        <v>440</v>
      </c>
      <c r="E378" s="8" t="s">
        <v>840</v>
      </c>
      <c r="F378" s="8">
        <f t="shared" si="36"/>
        <v>0</v>
      </c>
      <c r="G378" s="8">
        <f t="shared" si="36"/>
        <v>0</v>
      </c>
      <c r="H378" s="8">
        <f t="shared" si="36"/>
        <v>0</v>
      </c>
      <c r="I378" s="8">
        <f t="shared" si="36"/>
        <v>1</v>
      </c>
      <c r="J378" s="8">
        <f t="shared" si="38"/>
        <v>0</v>
      </c>
      <c r="K378" s="15">
        <v>1.6087962940218858E-3</v>
      </c>
      <c r="M378" s="8">
        <f t="shared" si="34"/>
        <v>473</v>
      </c>
      <c r="N378" s="9" t="s">
        <v>63</v>
      </c>
      <c r="O378" s="9" t="s">
        <v>16</v>
      </c>
      <c r="P378" s="9">
        <v>1796</v>
      </c>
      <c r="Q378" s="9">
        <v>125</v>
      </c>
      <c r="R378" s="8" t="s">
        <v>17</v>
      </c>
      <c r="S378" s="11">
        <v>117</v>
      </c>
      <c r="T378" s="10">
        <v>0.27</v>
      </c>
    </row>
    <row r="379" spans="1:20" x14ac:dyDescent="0.3">
      <c r="A379" s="7">
        <f t="shared" si="35"/>
        <v>374</v>
      </c>
      <c r="B379" s="8">
        <v>3575</v>
      </c>
      <c r="C379" s="9" t="str">
        <f t="shared" si="37"/>
        <v>4740x85185fe3A4e36079818Ba1d12705A9B6898997040xa60AdD2af71a4f50b3F94509E71a1e9DbDeA5dDa1127171unidade1180027</v>
      </c>
      <c r="D379" s="13" t="s">
        <v>441</v>
      </c>
      <c r="E379" s="8" t="s">
        <v>841</v>
      </c>
      <c r="F379" s="8">
        <f t="shared" si="36"/>
        <v>0</v>
      </c>
      <c r="G379" s="8">
        <f t="shared" si="36"/>
        <v>0</v>
      </c>
      <c r="H379" s="8">
        <f t="shared" si="36"/>
        <v>0</v>
      </c>
      <c r="I379" s="8">
        <f t="shared" si="36"/>
        <v>1</v>
      </c>
      <c r="J379" s="8">
        <f t="shared" si="38"/>
        <v>0</v>
      </c>
      <c r="K379" s="15">
        <v>7.638888928340748E-4</v>
      </c>
      <c r="M379" s="8">
        <f t="shared" si="34"/>
        <v>474</v>
      </c>
      <c r="N379" s="9" t="s">
        <v>63</v>
      </c>
      <c r="O379" s="9" t="s">
        <v>16</v>
      </c>
      <c r="P379" s="9">
        <v>1127</v>
      </c>
      <c r="Q379" s="9">
        <v>171</v>
      </c>
      <c r="R379" s="8" t="s">
        <v>17</v>
      </c>
      <c r="S379" s="11">
        <v>118</v>
      </c>
      <c r="T379" s="10">
        <v>0.27</v>
      </c>
    </row>
    <row r="380" spans="1:20" x14ac:dyDescent="0.3">
      <c r="A380" s="7">
        <f t="shared" si="35"/>
        <v>375</v>
      </c>
      <c r="B380" s="8">
        <v>6151</v>
      </c>
      <c r="C380" s="9" t="str">
        <f t="shared" si="37"/>
        <v>4750x85185fe3A4e36079818Ba1d12705A9B6898997040xa60AdD2af71a4f50b3F94509E71a1e9DbDeA5dDa1236194unidade1450027</v>
      </c>
      <c r="D380" s="13" t="s">
        <v>442</v>
      </c>
      <c r="E380" s="8" t="s">
        <v>842</v>
      </c>
      <c r="F380" s="8">
        <f t="shared" si="36"/>
        <v>0</v>
      </c>
      <c r="G380" s="8">
        <f t="shared" si="36"/>
        <v>0</v>
      </c>
      <c r="H380" s="8">
        <f t="shared" si="36"/>
        <v>0</v>
      </c>
      <c r="I380" s="8">
        <f t="shared" si="36"/>
        <v>7</v>
      </c>
      <c r="J380" s="8">
        <f t="shared" si="38"/>
        <v>0</v>
      </c>
      <c r="K380" s="15">
        <v>1.3078703705104999E-3</v>
      </c>
      <c r="M380" s="8">
        <f t="shared" si="34"/>
        <v>475</v>
      </c>
      <c r="N380" s="9" t="s">
        <v>63</v>
      </c>
      <c r="O380" s="9" t="s">
        <v>16</v>
      </c>
      <c r="P380" s="9">
        <v>1236</v>
      </c>
      <c r="Q380" s="9">
        <v>194</v>
      </c>
      <c r="R380" s="8" t="s">
        <v>17</v>
      </c>
      <c r="S380" s="11">
        <v>145</v>
      </c>
      <c r="T380" s="10">
        <v>0.27</v>
      </c>
    </row>
    <row r="381" spans="1:20" x14ac:dyDescent="0.3">
      <c r="A381" s="7">
        <f t="shared" si="35"/>
        <v>376</v>
      </c>
      <c r="B381" s="8">
        <v>4969</v>
      </c>
      <c r="C381" s="9" t="str">
        <f t="shared" si="37"/>
        <v>4760x85185fe3A4e36079818Ba1d12705A9B6898997040xa60AdD2af71a4f50b3F94509E71a1e9DbDeA5dDa1421462unidade1830027</v>
      </c>
      <c r="D381" s="13" t="s">
        <v>443</v>
      </c>
      <c r="E381" s="8" t="s">
        <v>843</v>
      </c>
      <c r="F381" s="8">
        <f t="shared" si="36"/>
        <v>0</v>
      </c>
      <c r="G381" s="8">
        <f t="shared" si="36"/>
        <v>0</v>
      </c>
      <c r="H381" s="8">
        <f t="shared" si="36"/>
        <v>0</v>
      </c>
      <c r="I381" s="8">
        <f t="shared" si="36"/>
        <v>1</v>
      </c>
      <c r="J381" s="8">
        <f t="shared" si="38"/>
        <v>0</v>
      </c>
      <c r="K381" s="15">
        <v>1.0300925860065036E-3</v>
      </c>
      <c r="M381" s="8">
        <f t="shared" si="34"/>
        <v>476</v>
      </c>
      <c r="N381" s="9" t="s">
        <v>63</v>
      </c>
      <c r="O381" s="9" t="s">
        <v>16</v>
      </c>
      <c r="P381" s="9">
        <v>1421</v>
      </c>
      <c r="Q381" s="9">
        <v>462</v>
      </c>
      <c r="R381" s="8" t="s">
        <v>17</v>
      </c>
      <c r="S381" s="11">
        <v>183</v>
      </c>
      <c r="T381" s="10">
        <v>0.27</v>
      </c>
    </row>
    <row r="382" spans="1:20" x14ac:dyDescent="0.3">
      <c r="A382" s="7">
        <f t="shared" si="35"/>
        <v>377</v>
      </c>
      <c r="B382" s="8">
        <v>1942</v>
      </c>
      <c r="C382" s="9" t="str">
        <f t="shared" si="37"/>
        <v>4770x85185fe3A4e36079818Ba1d12705A9B6898997040xa60AdD2af71a4f50b3F94509E71a1e9DbDeA5dDa1645365unidade1410027</v>
      </c>
      <c r="D382" s="13" t="s">
        <v>444</v>
      </c>
      <c r="E382" s="8" t="s">
        <v>844</v>
      </c>
      <c r="F382" s="8">
        <f t="shared" si="36"/>
        <v>0</v>
      </c>
      <c r="G382" s="8">
        <f t="shared" si="36"/>
        <v>0</v>
      </c>
      <c r="H382" s="8">
        <f t="shared" si="36"/>
        <v>0</v>
      </c>
      <c r="I382" s="8">
        <f t="shared" si="36"/>
        <v>3</v>
      </c>
      <c r="J382" s="8">
        <f t="shared" si="38"/>
        <v>0</v>
      </c>
      <c r="K382" s="15">
        <v>4.0509259270038456E-4</v>
      </c>
      <c r="M382" s="8">
        <f t="shared" si="34"/>
        <v>477</v>
      </c>
      <c r="N382" s="9" t="s">
        <v>63</v>
      </c>
      <c r="O382" s="9" t="s">
        <v>16</v>
      </c>
      <c r="P382" s="9">
        <v>1645</v>
      </c>
      <c r="Q382" s="9">
        <v>365</v>
      </c>
      <c r="R382" s="8" t="s">
        <v>17</v>
      </c>
      <c r="S382" s="11">
        <v>141</v>
      </c>
      <c r="T382" s="10">
        <v>0.27</v>
      </c>
    </row>
    <row r="383" spans="1:20" x14ac:dyDescent="0.3">
      <c r="A383" s="7">
        <f t="shared" si="35"/>
        <v>378</v>
      </c>
      <c r="B383" s="8">
        <v>4376</v>
      </c>
      <c r="C383" s="9" t="str">
        <f t="shared" si="37"/>
        <v>4780x85185fe3A4e36079818Ba1d12705A9B6898997040xa60AdD2af71a4f50b3F94509E71a1e9DbDeA5dDa1182105unidade1590027</v>
      </c>
      <c r="D383" s="13" t="s">
        <v>445</v>
      </c>
      <c r="E383" s="8" t="s">
        <v>845</v>
      </c>
      <c r="F383" s="8">
        <f t="shared" si="36"/>
        <v>0</v>
      </c>
      <c r="G383" s="8">
        <f t="shared" si="36"/>
        <v>0</v>
      </c>
      <c r="H383" s="8">
        <f t="shared" si="36"/>
        <v>0</v>
      </c>
      <c r="I383" s="8">
        <f t="shared" si="36"/>
        <v>1</v>
      </c>
      <c r="J383" s="8">
        <f t="shared" si="38"/>
        <v>0</v>
      </c>
      <c r="K383" s="15">
        <v>9.0277777781011537E-4</v>
      </c>
      <c r="M383" s="8">
        <f t="shared" si="34"/>
        <v>478</v>
      </c>
      <c r="N383" s="9" t="s">
        <v>63</v>
      </c>
      <c r="O383" s="9" t="s">
        <v>16</v>
      </c>
      <c r="P383" s="9">
        <v>1182</v>
      </c>
      <c r="Q383" s="9">
        <v>105</v>
      </c>
      <c r="R383" s="8" t="s">
        <v>17</v>
      </c>
      <c r="S383" s="11">
        <v>159</v>
      </c>
      <c r="T383" s="10">
        <v>0.27</v>
      </c>
    </row>
    <row r="384" spans="1:20" x14ac:dyDescent="0.3">
      <c r="A384" s="7">
        <f t="shared" si="35"/>
        <v>379</v>
      </c>
      <c r="B384" s="8">
        <v>4174</v>
      </c>
      <c r="C384" s="9" t="str">
        <f t="shared" si="37"/>
        <v>4790x85185fe3A4e36079818Ba1d12705A9B6898997040xa60AdD2af71a4f50b3F94509E71a1e9DbDeA5dDa1407414unidade810027</v>
      </c>
      <c r="D384" s="13" t="s">
        <v>446</v>
      </c>
      <c r="E384" s="8" t="s">
        <v>846</v>
      </c>
      <c r="F384" s="8">
        <f t="shared" si="36"/>
        <v>0</v>
      </c>
      <c r="G384" s="8">
        <f t="shared" si="36"/>
        <v>0</v>
      </c>
      <c r="H384" s="8">
        <f t="shared" si="36"/>
        <v>0</v>
      </c>
      <c r="I384" s="8">
        <f t="shared" si="36"/>
        <v>4</v>
      </c>
      <c r="J384" s="8">
        <f t="shared" si="38"/>
        <v>0</v>
      </c>
      <c r="K384" s="15">
        <v>8.7962963152676821E-4</v>
      </c>
      <c r="M384" s="8">
        <f t="shared" si="34"/>
        <v>479</v>
      </c>
      <c r="N384" s="9" t="s">
        <v>63</v>
      </c>
      <c r="O384" s="9" t="s">
        <v>16</v>
      </c>
      <c r="P384" s="9">
        <v>1407</v>
      </c>
      <c r="Q384" s="9">
        <v>414</v>
      </c>
      <c r="R384" s="8" t="s">
        <v>17</v>
      </c>
      <c r="S384" s="11">
        <v>81</v>
      </c>
      <c r="T384" s="10">
        <v>0.27</v>
      </c>
    </row>
    <row r="385" spans="1:20" x14ac:dyDescent="0.3">
      <c r="A385" s="7">
        <f t="shared" si="35"/>
        <v>380</v>
      </c>
      <c r="B385" s="8">
        <v>62</v>
      </c>
      <c r="C385" s="9" t="str">
        <f t="shared" si="37"/>
        <v>4800x85185fe3A4e36079818Ba1d12705A9B6898997040xa60AdD2af71a4f50b3F94509E71a1e9DbDeA5dDa1556424unidade970027</v>
      </c>
      <c r="D385" s="13" t="s">
        <v>447</v>
      </c>
      <c r="E385" s="8" t="s">
        <v>847</v>
      </c>
      <c r="F385" s="8">
        <f t="shared" si="36"/>
        <v>0</v>
      </c>
      <c r="G385" s="8">
        <f t="shared" si="36"/>
        <v>0</v>
      </c>
      <c r="H385" s="8">
        <f t="shared" si="36"/>
        <v>0</v>
      </c>
      <c r="I385" s="8">
        <f t="shared" si="36"/>
        <v>1</v>
      </c>
      <c r="J385" s="8">
        <f t="shared" si="38"/>
        <v>0</v>
      </c>
      <c r="K385" s="15">
        <v>1.1574076779652387E-5</v>
      </c>
      <c r="M385" s="8">
        <f t="shared" si="34"/>
        <v>480</v>
      </c>
      <c r="N385" s="9" t="s">
        <v>63</v>
      </c>
      <c r="O385" s="9" t="s">
        <v>16</v>
      </c>
      <c r="P385" s="9">
        <v>1556</v>
      </c>
      <c r="Q385" s="9">
        <v>424</v>
      </c>
      <c r="R385" s="8" t="s">
        <v>17</v>
      </c>
      <c r="S385" s="11">
        <v>97</v>
      </c>
      <c r="T385" s="10">
        <v>0.27</v>
      </c>
    </row>
    <row r="386" spans="1:20" x14ac:dyDescent="0.3">
      <c r="A386" s="7">
        <f t="shared" si="35"/>
        <v>381</v>
      </c>
      <c r="B386" s="8">
        <v>2545</v>
      </c>
      <c r="C386" s="9" t="str">
        <f t="shared" si="37"/>
        <v>4810x85185fe3A4e36079818Ba1d12705A9B6898997040xa60AdD2af71a4f50b3F94509E71a1e9DbDeA5dDa1146371unidade1790027</v>
      </c>
      <c r="D386" s="13" t="s">
        <v>448</v>
      </c>
      <c r="E386" s="8" t="s">
        <v>848</v>
      </c>
      <c r="F386" s="8">
        <f t="shared" si="36"/>
        <v>0</v>
      </c>
      <c r="G386" s="8">
        <f t="shared" si="36"/>
        <v>0</v>
      </c>
      <c r="H386" s="8">
        <f t="shared" si="36"/>
        <v>0</v>
      </c>
      <c r="I386" s="8">
        <f t="shared" si="36"/>
        <v>1</v>
      </c>
      <c r="J386" s="8">
        <f t="shared" si="38"/>
        <v>0</v>
      </c>
      <c r="K386" s="15">
        <v>5.3240740817273036E-4</v>
      </c>
      <c r="M386" s="8">
        <f t="shared" si="34"/>
        <v>481</v>
      </c>
      <c r="N386" s="9" t="s">
        <v>63</v>
      </c>
      <c r="O386" s="9" t="s">
        <v>16</v>
      </c>
      <c r="P386" s="9">
        <v>1146</v>
      </c>
      <c r="Q386" s="9">
        <v>371</v>
      </c>
      <c r="R386" s="8" t="s">
        <v>17</v>
      </c>
      <c r="S386" s="11">
        <v>179</v>
      </c>
      <c r="T386" s="10">
        <v>0.27</v>
      </c>
    </row>
    <row r="387" spans="1:20" x14ac:dyDescent="0.3">
      <c r="A387" s="7">
        <f t="shared" si="35"/>
        <v>382</v>
      </c>
      <c r="B387" s="8">
        <v>1014</v>
      </c>
      <c r="C387" s="9" t="str">
        <f t="shared" si="37"/>
        <v>4820x85185fe3A4e36079818Ba1d12705A9B6898997040xa60AdD2af71a4f50b3F94509E71a1e9DbDeA5dDa1991249unidade2090027</v>
      </c>
      <c r="D387" s="13" t="s">
        <v>449</v>
      </c>
      <c r="E387" s="8" t="s">
        <v>849</v>
      </c>
      <c r="F387" s="8">
        <f t="shared" si="36"/>
        <v>0</v>
      </c>
      <c r="G387" s="8">
        <f t="shared" si="36"/>
        <v>0</v>
      </c>
      <c r="H387" s="8">
        <f t="shared" si="36"/>
        <v>0</v>
      </c>
      <c r="I387" s="8">
        <f t="shared" si="36"/>
        <v>7</v>
      </c>
      <c r="J387" s="8">
        <f t="shared" si="38"/>
        <v>0</v>
      </c>
      <c r="K387" s="15">
        <v>2.0833333110203966E-4</v>
      </c>
      <c r="M387" s="8">
        <f t="shared" si="34"/>
        <v>482</v>
      </c>
      <c r="N387" s="9" t="s">
        <v>63</v>
      </c>
      <c r="O387" s="9" t="s">
        <v>16</v>
      </c>
      <c r="P387" s="9">
        <v>1991</v>
      </c>
      <c r="Q387" s="9">
        <v>249</v>
      </c>
      <c r="R387" s="8" t="s">
        <v>17</v>
      </c>
      <c r="S387" s="11">
        <v>209</v>
      </c>
      <c r="T387" s="10">
        <v>0.27</v>
      </c>
    </row>
    <row r="388" spans="1:20" x14ac:dyDescent="0.3">
      <c r="A388" s="7">
        <f t="shared" si="35"/>
        <v>383</v>
      </c>
      <c r="B388" s="8">
        <v>1709</v>
      </c>
      <c r="C388" s="9" t="str">
        <f t="shared" si="37"/>
        <v>4830x85185fe3A4e36079818Ba1d12705A9B6898997040xa60AdD2af71a4f50b3F94509E71a1e9DbDeA5dDa1048382unidade2400027</v>
      </c>
      <c r="D388" s="13" t="s">
        <v>450</v>
      </c>
      <c r="E388" s="8" t="s">
        <v>850</v>
      </c>
      <c r="F388" s="8">
        <f t="shared" si="36"/>
        <v>0</v>
      </c>
      <c r="G388" s="8">
        <f t="shared" si="36"/>
        <v>0</v>
      </c>
      <c r="H388" s="8">
        <f t="shared" si="36"/>
        <v>0</v>
      </c>
      <c r="I388" s="8">
        <f t="shared" si="36"/>
        <v>1</v>
      </c>
      <c r="J388" s="8">
        <f t="shared" si="38"/>
        <v>0</v>
      </c>
      <c r="K388" s="15">
        <v>3.5879629285773262E-4</v>
      </c>
      <c r="M388" s="8">
        <f t="shared" si="34"/>
        <v>483</v>
      </c>
      <c r="N388" s="9" t="s">
        <v>63</v>
      </c>
      <c r="O388" s="9" t="s">
        <v>16</v>
      </c>
      <c r="P388" s="9">
        <v>1048</v>
      </c>
      <c r="Q388" s="9">
        <v>382</v>
      </c>
      <c r="R388" s="8" t="s">
        <v>17</v>
      </c>
      <c r="S388" s="11">
        <v>240</v>
      </c>
      <c r="T388" s="10">
        <v>0.27</v>
      </c>
    </row>
    <row r="389" spans="1:20" x14ac:dyDescent="0.3">
      <c r="A389" s="7">
        <f t="shared" si="35"/>
        <v>384</v>
      </c>
      <c r="B389" s="8">
        <v>460</v>
      </c>
      <c r="C389" s="9" t="str">
        <f t="shared" si="37"/>
        <v>4840x85185fe3A4e36079818Ba1d12705A9B6898997040xa60AdD2af71a4f50b3F94509E71a1e9DbDeA5dDa1116304unidade1860027</v>
      </c>
      <c r="D389" s="13" t="s">
        <v>451</v>
      </c>
      <c r="E389" s="8" t="s">
        <v>851</v>
      </c>
      <c r="F389" s="8">
        <f t="shared" si="36"/>
        <v>0</v>
      </c>
      <c r="G389" s="8">
        <f t="shared" si="36"/>
        <v>0</v>
      </c>
      <c r="H389" s="8">
        <f t="shared" si="36"/>
        <v>0</v>
      </c>
      <c r="I389" s="8">
        <f t="shared" si="36"/>
        <v>1</v>
      </c>
      <c r="J389" s="8">
        <f t="shared" si="38"/>
        <v>0</v>
      </c>
      <c r="K389" s="15">
        <v>9.2592599685303867E-5</v>
      </c>
      <c r="M389" s="8">
        <f t="shared" si="34"/>
        <v>484</v>
      </c>
      <c r="N389" s="9" t="s">
        <v>63</v>
      </c>
      <c r="O389" s="9" t="s">
        <v>16</v>
      </c>
      <c r="P389" s="9">
        <v>1116</v>
      </c>
      <c r="Q389" s="9">
        <v>304</v>
      </c>
      <c r="R389" s="8" t="s">
        <v>17</v>
      </c>
      <c r="S389" s="11">
        <v>186</v>
      </c>
      <c r="T389" s="10">
        <v>0.27</v>
      </c>
    </row>
    <row r="390" spans="1:20" x14ac:dyDescent="0.3">
      <c r="A390" s="7">
        <f t="shared" si="35"/>
        <v>385</v>
      </c>
      <c r="B390" s="8">
        <v>1300</v>
      </c>
      <c r="C390" s="9" t="str">
        <f t="shared" si="37"/>
        <v>4850x85185fe3A4e36079818Ba1d12705A9B6898997040xa60AdD2af71a4f50b3F94509E71a1e9DbDeA5dDa1346190unidade1550027</v>
      </c>
      <c r="D390" s="13" t="s">
        <v>452</v>
      </c>
      <c r="E390" s="8" t="s">
        <v>852</v>
      </c>
      <c r="F390" s="8">
        <f t="shared" si="36"/>
        <v>0</v>
      </c>
      <c r="G390" s="8">
        <f t="shared" si="36"/>
        <v>0</v>
      </c>
      <c r="H390" s="8">
        <f t="shared" si="36"/>
        <v>0</v>
      </c>
      <c r="I390" s="8">
        <f t="shared" si="36"/>
        <v>1</v>
      </c>
      <c r="J390" s="8">
        <f t="shared" si="38"/>
        <v>0</v>
      </c>
      <c r="K390" s="15">
        <v>2.6620370044838637E-4</v>
      </c>
      <c r="M390" s="8">
        <f t="shared" ref="M390:M453" si="39">1+M389</f>
        <v>485</v>
      </c>
      <c r="N390" s="9" t="s">
        <v>63</v>
      </c>
      <c r="O390" s="9" t="s">
        <v>16</v>
      </c>
      <c r="P390" s="9">
        <v>1346</v>
      </c>
      <c r="Q390" s="9">
        <v>190</v>
      </c>
      <c r="R390" s="8" t="s">
        <v>17</v>
      </c>
      <c r="S390" s="11">
        <v>155</v>
      </c>
      <c r="T390" s="10">
        <v>0.27</v>
      </c>
    </row>
    <row r="391" spans="1:20" x14ac:dyDescent="0.3">
      <c r="A391" s="7">
        <f t="shared" ref="A391:A454" si="40">1+A390</f>
        <v>386</v>
      </c>
      <c r="B391" s="8">
        <v>8374</v>
      </c>
      <c r="C391" s="9" t="str">
        <f t="shared" si="37"/>
        <v>4860x85185fe3A4e36079818Ba1d12705A9B6898997040xa60AdD2af71a4f50b3F94509E71a1e9DbDeA5dDa1213382unidade1050027</v>
      </c>
      <c r="D391" s="13" t="s">
        <v>453</v>
      </c>
      <c r="E391" s="8" t="s">
        <v>853</v>
      </c>
      <c r="F391" s="8">
        <f t="shared" si="36"/>
        <v>0</v>
      </c>
      <c r="G391" s="8">
        <f t="shared" si="36"/>
        <v>0</v>
      </c>
      <c r="H391" s="8">
        <f t="shared" si="36"/>
        <v>0</v>
      </c>
      <c r="I391" s="8">
        <f t="shared" si="36"/>
        <v>1</v>
      </c>
      <c r="J391" s="8">
        <f t="shared" si="38"/>
        <v>0</v>
      </c>
      <c r="K391" s="15">
        <v>1.7361111094942316E-3</v>
      </c>
      <c r="M391" s="8">
        <f t="shared" si="39"/>
        <v>486</v>
      </c>
      <c r="N391" s="9" t="s">
        <v>63</v>
      </c>
      <c r="O391" s="9" t="s">
        <v>16</v>
      </c>
      <c r="P391" s="9">
        <v>1213</v>
      </c>
      <c r="Q391" s="9">
        <v>382</v>
      </c>
      <c r="R391" s="8" t="s">
        <v>17</v>
      </c>
      <c r="S391" s="11">
        <v>105</v>
      </c>
      <c r="T391" s="10">
        <v>0.27</v>
      </c>
    </row>
    <row r="392" spans="1:20" x14ac:dyDescent="0.3">
      <c r="A392" s="7">
        <f t="shared" si="40"/>
        <v>387</v>
      </c>
      <c r="B392" s="8">
        <v>2666</v>
      </c>
      <c r="C392" s="9" t="str">
        <f t="shared" si="37"/>
        <v>4870x85185fe3A4e36079818Ba1d12705A9B6898997040xa60AdD2af71a4f50b3F94509E71a1e9DbDeA5dDa1805279unidade1610027</v>
      </c>
      <c r="D392" s="13" t="s">
        <v>454</v>
      </c>
      <c r="E392" s="8" t="s">
        <v>854</v>
      </c>
      <c r="F392" s="8">
        <f t="shared" si="36"/>
        <v>0</v>
      </c>
      <c r="G392" s="8">
        <f t="shared" si="36"/>
        <v>0</v>
      </c>
      <c r="H392" s="8">
        <f t="shared" si="36"/>
        <v>0</v>
      </c>
      <c r="I392" s="8">
        <f t="shared" si="36"/>
        <v>8</v>
      </c>
      <c r="J392" s="8">
        <f t="shared" si="38"/>
        <v>0</v>
      </c>
      <c r="K392" s="15">
        <v>5.5555555445607752E-4</v>
      </c>
      <c r="M392" s="8">
        <f t="shared" si="39"/>
        <v>487</v>
      </c>
      <c r="N392" s="9" t="s">
        <v>63</v>
      </c>
      <c r="O392" s="9" t="s">
        <v>16</v>
      </c>
      <c r="P392" s="9">
        <v>1805</v>
      </c>
      <c r="Q392" s="9">
        <v>279</v>
      </c>
      <c r="R392" s="8" t="s">
        <v>17</v>
      </c>
      <c r="S392" s="11">
        <v>161</v>
      </c>
      <c r="T392" s="10">
        <v>0.27</v>
      </c>
    </row>
    <row r="393" spans="1:20" x14ac:dyDescent="0.3">
      <c r="A393" s="7">
        <f t="shared" si="40"/>
        <v>388</v>
      </c>
      <c r="B393" s="8">
        <v>5295</v>
      </c>
      <c r="C393" s="9" t="str">
        <f t="shared" si="37"/>
        <v>4880x85185fe3A4e36079818Ba1d12705A9B6898997040xa60AdD2af71a4f50b3F94509E71a1e9DbDeA5dDa1250108unidade2300027</v>
      </c>
      <c r="D393" s="13" t="s">
        <v>455</v>
      </c>
      <c r="E393" s="8" t="s">
        <v>855</v>
      </c>
      <c r="F393" s="8">
        <f t="shared" si="36"/>
        <v>0</v>
      </c>
      <c r="G393" s="8">
        <f t="shared" si="36"/>
        <v>0</v>
      </c>
      <c r="H393" s="8">
        <f t="shared" si="36"/>
        <v>0</v>
      </c>
      <c r="I393" s="8">
        <f t="shared" si="36"/>
        <v>6</v>
      </c>
      <c r="J393" s="8">
        <f t="shared" si="38"/>
        <v>0</v>
      </c>
      <c r="K393" s="15">
        <v>1.0879629626288079E-3</v>
      </c>
      <c r="M393" s="8">
        <f t="shared" si="39"/>
        <v>488</v>
      </c>
      <c r="N393" s="9" t="s">
        <v>63</v>
      </c>
      <c r="O393" s="9" t="s">
        <v>16</v>
      </c>
      <c r="P393" s="9">
        <v>1250</v>
      </c>
      <c r="Q393" s="9">
        <v>108</v>
      </c>
      <c r="R393" s="8" t="s">
        <v>17</v>
      </c>
      <c r="S393" s="11">
        <v>230</v>
      </c>
      <c r="T393" s="10">
        <v>0.27</v>
      </c>
    </row>
    <row r="394" spans="1:20" x14ac:dyDescent="0.3">
      <c r="A394" s="7">
        <f t="shared" si="40"/>
        <v>389</v>
      </c>
      <c r="B394" s="8">
        <v>90</v>
      </c>
      <c r="C394" s="9" t="str">
        <f t="shared" si="37"/>
        <v>4890x85185fe3A4e36079818Ba1d12705A9B6898997040xa60AdD2af71a4f50b3F94509E71a1e9DbDeA5dDa1093388unidade2300027</v>
      </c>
      <c r="D394" s="13" t="s">
        <v>456</v>
      </c>
      <c r="E394" s="8" t="s">
        <v>856</v>
      </c>
      <c r="F394" s="8">
        <f t="shared" si="36"/>
        <v>0</v>
      </c>
      <c r="G394" s="8">
        <f t="shared" si="36"/>
        <v>0</v>
      </c>
      <c r="H394" s="8">
        <f t="shared" si="36"/>
        <v>0</v>
      </c>
      <c r="I394" s="8">
        <f t="shared" si="36"/>
        <v>1</v>
      </c>
      <c r="J394" s="8">
        <f t="shared" si="38"/>
        <v>0</v>
      </c>
      <c r="K394" s="15">
        <v>2.3148153559304774E-5</v>
      </c>
      <c r="M394" s="8">
        <f t="shared" si="39"/>
        <v>489</v>
      </c>
      <c r="N394" s="9" t="s">
        <v>63</v>
      </c>
      <c r="O394" s="9" t="s">
        <v>16</v>
      </c>
      <c r="P394" s="9">
        <v>1093</v>
      </c>
      <c r="Q394" s="9">
        <v>388</v>
      </c>
      <c r="R394" s="8" t="s">
        <v>17</v>
      </c>
      <c r="S394" s="11">
        <v>230</v>
      </c>
      <c r="T394" s="10">
        <v>0.27</v>
      </c>
    </row>
    <row r="395" spans="1:20" x14ac:dyDescent="0.3">
      <c r="A395" s="7">
        <f t="shared" si="40"/>
        <v>390</v>
      </c>
      <c r="B395" s="8">
        <v>5386</v>
      </c>
      <c r="C395" s="9" t="str">
        <f t="shared" si="37"/>
        <v>4900x85185fe3A4e36079818Ba1d12705A9B6898997040xa60AdD2af71a4f50b3F94509E71a1e9DbDeA5dDa1812287unidade1120027</v>
      </c>
      <c r="D395" s="13" t="s">
        <v>457</v>
      </c>
      <c r="E395" s="8" t="s">
        <v>857</v>
      </c>
      <c r="F395" s="8">
        <f t="shared" si="36"/>
        <v>0</v>
      </c>
      <c r="G395" s="8">
        <f t="shared" si="36"/>
        <v>0</v>
      </c>
      <c r="H395" s="8">
        <f t="shared" si="36"/>
        <v>0</v>
      </c>
      <c r="I395" s="8">
        <f t="shared" si="36"/>
        <v>9</v>
      </c>
      <c r="J395" s="8">
        <f t="shared" si="38"/>
        <v>0</v>
      </c>
      <c r="K395" s="15">
        <v>7.1759259299142286E-4</v>
      </c>
      <c r="M395" s="8">
        <f t="shared" si="39"/>
        <v>490</v>
      </c>
      <c r="N395" s="9" t="s">
        <v>63</v>
      </c>
      <c r="O395" s="9" t="s">
        <v>16</v>
      </c>
      <c r="P395" s="9">
        <v>1812</v>
      </c>
      <c r="Q395" s="9">
        <v>287</v>
      </c>
      <c r="R395" s="8" t="s">
        <v>17</v>
      </c>
      <c r="S395" s="11">
        <v>112</v>
      </c>
      <c r="T395" s="10">
        <v>0.27</v>
      </c>
    </row>
    <row r="396" spans="1:20" x14ac:dyDescent="0.3">
      <c r="A396" s="7">
        <f t="shared" si="40"/>
        <v>391</v>
      </c>
      <c r="B396" s="8">
        <v>15301</v>
      </c>
      <c r="C396" s="9" t="str">
        <f t="shared" si="37"/>
        <v>4910x85185fe3A4e36079818Ba1d12705A9B6898997040xa60AdD2af71a4f50b3F94509E71a1e9DbDeA5dDa1352113unidade2440027</v>
      </c>
      <c r="D396" s="13" t="s">
        <v>458</v>
      </c>
      <c r="E396" s="8" t="s">
        <v>858</v>
      </c>
      <c r="F396" s="8">
        <f t="shared" si="36"/>
        <v>0</v>
      </c>
      <c r="G396" s="8">
        <f t="shared" si="36"/>
        <v>0</v>
      </c>
      <c r="H396" s="8">
        <f t="shared" si="36"/>
        <v>0</v>
      </c>
      <c r="I396" s="8">
        <f t="shared" si="36"/>
        <v>1</v>
      </c>
      <c r="J396" s="8">
        <f t="shared" si="38"/>
        <v>0</v>
      </c>
      <c r="K396" s="15">
        <v>3.5300925956107676E-3</v>
      </c>
      <c r="M396" s="8">
        <f t="shared" si="39"/>
        <v>491</v>
      </c>
      <c r="N396" s="9" t="s">
        <v>63</v>
      </c>
      <c r="O396" s="9" t="s">
        <v>16</v>
      </c>
      <c r="P396" s="9">
        <v>1352</v>
      </c>
      <c r="Q396" s="9">
        <v>113</v>
      </c>
      <c r="R396" s="8" t="s">
        <v>17</v>
      </c>
      <c r="S396" s="11">
        <v>244</v>
      </c>
      <c r="T396" s="10">
        <v>0.27</v>
      </c>
    </row>
    <row r="397" spans="1:20" x14ac:dyDescent="0.3">
      <c r="A397" s="7">
        <f t="shared" si="40"/>
        <v>392</v>
      </c>
      <c r="B397" s="8">
        <v>2264</v>
      </c>
      <c r="C397" s="9" t="str">
        <f t="shared" si="37"/>
        <v>4920x85185fe3A4e36079818Ba1d12705A9B6898997040xa60AdD2af71a4f50b3F94509E71a1e9DbDeA5dDa1014433unidade1530027</v>
      </c>
      <c r="D397" s="13" t="s">
        <v>459</v>
      </c>
      <c r="E397" s="8" t="s">
        <v>859</v>
      </c>
      <c r="F397" s="8">
        <f t="shared" si="36"/>
        <v>0</v>
      </c>
      <c r="G397" s="8">
        <f t="shared" si="36"/>
        <v>0</v>
      </c>
      <c r="H397" s="8">
        <f t="shared" si="36"/>
        <v>0</v>
      </c>
      <c r="I397" s="8">
        <f t="shared" si="36"/>
        <v>1</v>
      </c>
      <c r="J397" s="8">
        <f t="shared" si="38"/>
        <v>0</v>
      </c>
      <c r="K397" s="15">
        <v>6.1342592380242422E-4</v>
      </c>
      <c r="M397" s="8">
        <f t="shared" si="39"/>
        <v>492</v>
      </c>
      <c r="N397" s="9" t="s">
        <v>63</v>
      </c>
      <c r="O397" s="9" t="s">
        <v>16</v>
      </c>
      <c r="P397" s="9">
        <v>1014</v>
      </c>
      <c r="Q397" s="9">
        <v>433</v>
      </c>
      <c r="R397" s="8" t="s">
        <v>17</v>
      </c>
      <c r="S397" s="11">
        <v>153</v>
      </c>
      <c r="T397" s="10">
        <v>0.27</v>
      </c>
    </row>
    <row r="398" spans="1:20" x14ac:dyDescent="0.3">
      <c r="A398" s="7">
        <f t="shared" si="40"/>
        <v>393</v>
      </c>
      <c r="B398" s="8">
        <v>3900</v>
      </c>
      <c r="C398" s="9" t="str">
        <f t="shared" si="37"/>
        <v>4930x85185fe3A4e36079818Ba1d12705A9B6898997040xa60AdD2af71a4f50b3F94509E71a1e9DbDeA5dDa1088178unidade1780027</v>
      </c>
      <c r="D398" s="13" t="s">
        <v>460</v>
      </c>
      <c r="E398" s="8" t="s">
        <v>860</v>
      </c>
      <c r="F398" s="8">
        <f t="shared" si="36"/>
        <v>0</v>
      </c>
      <c r="G398" s="8">
        <f t="shared" si="36"/>
        <v>0</v>
      </c>
      <c r="H398" s="8">
        <f t="shared" si="36"/>
        <v>0</v>
      </c>
      <c r="I398" s="8">
        <f t="shared" si="36"/>
        <v>4</v>
      </c>
      <c r="J398" s="8">
        <f t="shared" si="38"/>
        <v>0</v>
      </c>
      <c r="K398" s="15">
        <v>7.9861110862111673E-4</v>
      </c>
      <c r="M398" s="8">
        <f t="shared" si="39"/>
        <v>493</v>
      </c>
      <c r="N398" s="9" t="s">
        <v>63</v>
      </c>
      <c r="O398" s="9" t="s">
        <v>16</v>
      </c>
      <c r="P398" s="9">
        <v>1088</v>
      </c>
      <c r="Q398" s="9">
        <v>178</v>
      </c>
      <c r="R398" s="8" t="s">
        <v>17</v>
      </c>
      <c r="S398" s="11">
        <v>178</v>
      </c>
      <c r="T398" s="10">
        <v>0.27</v>
      </c>
    </row>
    <row r="399" spans="1:20" x14ac:dyDescent="0.3">
      <c r="A399" s="7">
        <f t="shared" si="40"/>
        <v>394</v>
      </c>
      <c r="B399" s="8">
        <v>17174</v>
      </c>
      <c r="C399" s="9" t="str">
        <f t="shared" si="37"/>
        <v>4940x85185fe3A4e36079818Ba1d12705A9B6898997040xa60AdD2af71a4f50b3F94509E71a1e9DbDeA5dDa1647380unidade780027</v>
      </c>
      <c r="D399" s="13" t="s">
        <v>461</v>
      </c>
      <c r="E399" s="8" t="s">
        <v>861</v>
      </c>
      <c r="F399" s="8">
        <f t="shared" si="36"/>
        <v>0</v>
      </c>
      <c r="G399" s="8">
        <f t="shared" si="36"/>
        <v>0</v>
      </c>
      <c r="H399" s="8">
        <f t="shared" si="36"/>
        <v>0</v>
      </c>
      <c r="I399" s="8">
        <f t="shared" si="36"/>
        <v>1</v>
      </c>
      <c r="J399" s="8">
        <f t="shared" si="38"/>
        <v>0</v>
      </c>
      <c r="K399" s="15">
        <v>4.2476851886021905E-3</v>
      </c>
      <c r="M399" s="8">
        <f t="shared" si="39"/>
        <v>494</v>
      </c>
      <c r="N399" s="9" t="s">
        <v>63</v>
      </c>
      <c r="O399" s="9" t="s">
        <v>16</v>
      </c>
      <c r="P399" s="9">
        <v>1647</v>
      </c>
      <c r="Q399" s="9">
        <v>380</v>
      </c>
      <c r="R399" s="8" t="s">
        <v>17</v>
      </c>
      <c r="S399" s="11">
        <v>78</v>
      </c>
      <c r="T399" s="10">
        <v>0.27</v>
      </c>
    </row>
    <row r="400" spans="1:20" x14ac:dyDescent="0.3">
      <c r="A400" s="7">
        <f t="shared" si="40"/>
        <v>395</v>
      </c>
      <c r="B400" s="8">
        <v>3597</v>
      </c>
      <c r="C400" s="9" t="str">
        <f t="shared" si="37"/>
        <v>4950x85185fe3A4e36079818Ba1d12705A9B6898997040xa60AdD2af71a4f50b3F94509E71a1e9DbDeA5dDa1443463unidade1740027</v>
      </c>
      <c r="D400" s="13" t="s">
        <v>462</v>
      </c>
      <c r="E400" s="8" t="s">
        <v>862</v>
      </c>
      <c r="F400" s="8">
        <f t="shared" si="36"/>
        <v>0</v>
      </c>
      <c r="G400" s="8">
        <f t="shared" si="36"/>
        <v>0</v>
      </c>
      <c r="H400" s="8">
        <f t="shared" si="36"/>
        <v>0</v>
      </c>
      <c r="I400" s="8">
        <f t="shared" si="36"/>
        <v>1</v>
      </c>
      <c r="J400" s="8">
        <f t="shared" si="38"/>
        <v>0</v>
      </c>
      <c r="K400" s="15">
        <v>1.1342592551955022E-3</v>
      </c>
      <c r="M400" s="8">
        <f t="shared" si="39"/>
        <v>495</v>
      </c>
      <c r="N400" s="9" t="s">
        <v>63</v>
      </c>
      <c r="O400" s="9" t="s">
        <v>16</v>
      </c>
      <c r="P400" s="9">
        <v>1443</v>
      </c>
      <c r="Q400" s="9">
        <v>463</v>
      </c>
      <c r="R400" s="8" t="s">
        <v>17</v>
      </c>
      <c r="S400" s="11">
        <v>174</v>
      </c>
      <c r="T400" s="10">
        <v>0.27</v>
      </c>
    </row>
    <row r="401" spans="1:20" x14ac:dyDescent="0.3">
      <c r="A401" s="7">
        <f t="shared" si="40"/>
        <v>396</v>
      </c>
      <c r="B401" s="8">
        <v>1422</v>
      </c>
      <c r="C401" s="9" t="str">
        <f t="shared" si="37"/>
        <v>4960x85185fe3A4e36079818Ba1d12705A9B6898997040xa60AdD2af71a4f50b3F94509E71a1e9DbDeA5dDa1544306unidade500027</v>
      </c>
      <c r="D401" s="13" t="s">
        <v>463</v>
      </c>
      <c r="E401" s="8" t="s">
        <v>863</v>
      </c>
      <c r="F401" s="8">
        <f t="shared" si="36"/>
        <v>0</v>
      </c>
      <c r="G401" s="8">
        <f t="shared" si="36"/>
        <v>0</v>
      </c>
      <c r="H401" s="8">
        <f t="shared" si="36"/>
        <v>0</v>
      </c>
      <c r="I401" s="8">
        <f t="shared" si="36"/>
        <v>5</v>
      </c>
      <c r="J401" s="8">
        <f t="shared" si="38"/>
        <v>0</v>
      </c>
      <c r="K401" s="15">
        <v>3.4722222335403785E-4</v>
      </c>
      <c r="M401" s="8">
        <f t="shared" si="39"/>
        <v>496</v>
      </c>
      <c r="N401" s="9" t="s">
        <v>63</v>
      </c>
      <c r="O401" s="9" t="s">
        <v>16</v>
      </c>
      <c r="P401" s="9">
        <v>1544</v>
      </c>
      <c r="Q401" s="9">
        <v>306</v>
      </c>
      <c r="R401" s="8" t="s">
        <v>17</v>
      </c>
      <c r="S401" s="11">
        <v>50</v>
      </c>
      <c r="T401" s="10">
        <v>0.27</v>
      </c>
    </row>
    <row r="402" spans="1:20" x14ac:dyDescent="0.3">
      <c r="A402" s="7">
        <f t="shared" si="40"/>
        <v>397</v>
      </c>
      <c r="B402" s="8">
        <v>578</v>
      </c>
      <c r="C402" s="9" t="str">
        <f t="shared" si="37"/>
        <v>4970x85185fe3A4e36079818Ba1d12705A9B6898997040xa60AdD2af71a4f50b3F94509E71a1e9DbDeA5dDa1222373unidade700027</v>
      </c>
      <c r="D402" s="13" t="s">
        <v>464</v>
      </c>
      <c r="E402" s="8" t="s">
        <v>864</v>
      </c>
      <c r="F402" s="8">
        <f t="shared" si="36"/>
        <v>0</v>
      </c>
      <c r="G402" s="8">
        <f t="shared" si="36"/>
        <v>0</v>
      </c>
      <c r="H402" s="8">
        <f t="shared" si="36"/>
        <v>0</v>
      </c>
      <c r="I402" s="8">
        <f t="shared" si="36"/>
        <v>4</v>
      </c>
      <c r="J402" s="8">
        <f t="shared" si="38"/>
        <v>0</v>
      </c>
      <c r="K402" s="15">
        <v>1.273148154723458E-4</v>
      </c>
      <c r="M402" s="8">
        <f t="shared" si="39"/>
        <v>497</v>
      </c>
      <c r="N402" s="9" t="s">
        <v>63</v>
      </c>
      <c r="O402" s="9" t="s">
        <v>16</v>
      </c>
      <c r="P402" s="9">
        <v>1222</v>
      </c>
      <c r="Q402" s="9">
        <v>373</v>
      </c>
      <c r="R402" s="8" t="s">
        <v>17</v>
      </c>
      <c r="S402" s="11">
        <v>70</v>
      </c>
      <c r="T402" s="10">
        <v>0.27</v>
      </c>
    </row>
    <row r="403" spans="1:20" x14ac:dyDescent="0.3">
      <c r="A403" s="7">
        <f t="shared" si="40"/>
        <v>398</v>
      </c>
      <c r="B403" s="8">
        <v>619</v>
      </c>
      <c r="C403" s="9" t="str">
        <f t="shared" si="37"/>
        <v>4980x85185fe3A4e36079818Ba1d12705A9B6898997040xa60AdD2af71a4f50b3F94509E71a1e9DbDeA5dDa1601183unidade1470027</v>
      </c>
      <c r="D403" s="13" t="s">
        <v>465</v>
      </c>
      <c r="E403" s="8" t="s">
        <v>865</v>
      </c>
      <c r="F403" s="8">
        <f t="shared" si="36"/>
        <v>0</v>
      </c>
      <c r="G403" s="8">
        <f t="shared" si="36"/>
        <v>0</v>
      </c>
      <c r="H403" s="8">
        <f t="shared" si="36"/>
        <v>0</v>
      </c>
      <c r="I403" s="8">
        <f t="shared" si="36"/>
        <v>0</v>
      </c>
      <c r="J403" s="8">
        <f t="shared" si="38"/>
        <v>0</v>
      </c>
      <c r="K403" s="15">
        <v>1.273148154723458E-4</v>
      </c>
      <c r="M403" s="8">
        <f t="shared" si="39"/>
        <v>498</v>
      </c>
      <c r="N403" s="9" t="s">
        <v>63</v>
      </c>
      <c r="O403" s="9" t="s">
        <v>16</v>
      </c>
      <c r="P403" s="9">
        <v>1601</v>
      </c>
      <c r="Q403" s="9">
        <v>183</v>
      </c>
      <c r="R403" s="8" t="s">
        <v>17</v>
      </c>
      <c r="S403" s="11">
        <v>147</v>
      </c>
      <c r="T403" s="10">
        <v>0.27</v>
      </c>
    </row>
    <row r="404" spans="1:20" x14ac:dyDescent="0.3">
      <c r="A404" s="7">
        <f t="shared" si="40"/>
        <v>399</v>
      </c>
      <c r="B404" s="8">
        <v>1339</v>
      </c>
      <c r="C404" s="9" t="str">
        <f t="shared" si="37"/>
        <v>4990x85185fe3A4e36079818Ba1d12705A9B6898997040xa60AdD2af71a4f50b3F94509E71a1e9DbDeA5dDa1924264unidade930027</v>
      </c>
      <c r="D404" s="13" t="s">
        <v>466</v>
      </c>
      <c r="E404" s="8" t="s">
        <v>866</v>
      </c>
      <c r="F404" s="8">
        <f t="shared" si="36"/>
        <v>0</v>
      </c>
      <c r="G404" s="8">
        <f t="shared" si="36"/>
        <v>0</v>
      </c>
      <c r="H404" s="8">
        <f t="shared" si="36"/>
        <v>0</v>
      </c>
      <c r="I404" s="8">
        <f t="shared" si="36"/>
        <v>2</v>
      </c>
      <c r="J404" s="8">
        <f t="shared" si="38"/>
        <v>0</v>
      </c>
      <c r="K404" s="15">
        <v>3.5879629285773262E-4</v>
      </c>
      <c r="M404" s="8">
        <f t="shared" si="39"/>
        <v>499</v>
      </c>
      <c r="N404" s="9" t="s">
        <v>63</v>
      </c>
      <c r="O404" s="9" t="s">
        <v>16</v>
      </c>
      <c r="P404" s="9">
        <v>1924</v>
      </c>
      <c r="Q404" s="9">
        <v>264</v>
      </c>
      <c r="R404" s="8" t="s">
        <v>17</v>
      </c>
      <c r="S404" s="11">
        <v>93</v>
      </c>
      <c r="T404" s="10">
        <v>0.27</v>
      </c>
    </row>
    <row r="405" spans="1:20" x14ac:dyDescent="0.3">
      <c r="A405" s="7">
        <f t="shared" si="40"/>
        <v>400</v>
      </c>
      <c r="B405" s="8">
        <v>3647</v>
      </c>
      <c r="C405" s="9" t="str">
        <f t="shared" si="37"/>
        <v>5000x85185fe3A4e36079818Ba1d12705A9B6898997040xa60AdD2af71a4f50b3F94509E71a1e9DbDeA5dDa1546227unidade950027</v>
      </c>
      <c r="D405" s="13" t="s">
        <v>467</v>
      </c>
      <c r="E405" s="8" t="s">
        <v>867</v>
      </c>
      <c r="F405" s="8">
        <f t="shared" si="36"/>
        <v>0</v>
      </c>
      <c r="G405" s="8">
        <f t="shared" si="36"/>
        <v>0</v>
      </c>
      <c r="H405" s="8">
        <f t="shared" si="36"/>
        <v>0</v>
      </c>
      <c r="I405" s="8">
        <f t="shared" si="36"/>
        <v>1</v>
      </c>
      <c r="J405" s="8">
        <f t="shared" si="38"/>
        <v>0</v>
      </c>
      <c r="K405" s="15">
        <v>9.3750000087311491E-4</v>
      </c>
      <c r="M405" s="8">
        <f t="shared" si="39"/>
        <v>500</v>
      </c>
      <c r="N405" s="9" t="s">
        <v>63</v>
      </c>
      <c r="O405" s="9" t="s">
        <v>16</v>
      </c>
      <c r="P405" s="9">
        <v>1546</v>
      </c>
      <c r="Q405" s="9">
        <v>227</v>
      </c>
      <c r="R405" s="8" t="s">
        <v>17</v>
      </c>
      <c r="S405" s="11">
        <v>95</v>
      </c>
      <c r="T405" s="10">
        <v>0.27</v>
      </c>
    </row>
    <row r="406" spans="1:20" x14ac:dyDescent="0.3">
      <c r="A406" s="7">
        <f t="shared" si="40"/>
        <v>401</v>
      </c>
      <c r="B406" s="8">
        <v>1516</v>
      </c>
      <c r="C406" s="9" t="str">
        <f t="shared" si="37"/>
        <v>5010x85185fe3A4e36079818Ba1d12705A9B6898997040xa60AdD2af71a4f50b3F94509E71a1e9DbDeA5dDa1503134unidade1140027</v>
      </c>
      <c r="D406" s="13"/>
      <c r="E406" s="8" t="s">
        <v>868</v>
      </c>
      <c r="F406" s="8">
        <f t="shared" si="36"/>
        <v>0</v>
      </c>
      <c r="G406" s="8">
        <f t="shared" si="36"/>
        <v>0</v>
      </c>
      <c r="H406" s="8">
        <f t="shared" si="36"/>
        <v>0</v>
      </c>
      <c r="I406" s="8">
        <f t="shared" si="36"/>
        <v>1</v>
      </c>
      <c r="J406" s="8">
        <f t="shared" ref="J406:J469" si="41">SUM(F406:H406)</f>
        <v>0</v>
      </c>
      <c r="K406" s="15">
        <v>4.1666666220407933E-4</v>
      </c>
      <c r="M406" s="8">
        <f t="shared" si="39"/>
        <v>501</v>
      </c>
      <c r="N406" s="9" t="s">
        <v>63</v>
      </c>
      <c r="O406" s="9" t="s">
        <v>16</v>
      </c>
      <c r="P406" s="9">
        <v>1503</v>
      </c>
      <c r="Q406" s="9">
        <v>134</v>
      </c>
      <c r="R406" s="8" t="s">
        <v>17</v>
      </c>
      <c r="S406" s="11">
        <v>114</v>
      </c>
      <c r="T406" s="10">
        <v>0.27</v>
      </c>
    </row>
    <row r="407" spans="1:20" x14ac:dyDescent="0.3">
      <c r="A407" s="7">
        <f t="shared" si="40"/>
        <v>402</v>
      </c>
      <c r="B407" s="8">
        <v>5134</v>
      </c>
      <c r="C407" s="9" t="str">
        <f t="shared" si="37"/>
        <v>5020x85185fe3A4e36079818Ba1d12705A9B6898997040xa60AdD2af71a4f50b3F94509E71a1e9DbDeA5dDa755105unidade1150027</v>
      </c>
      <c r="D407" s="13"/>
      <c r="E407" s="8" t="s">
        <v>869</v>
      </c>
      <c r="F407" s="8">
        <f t="shared" si="36"/>
        <v>0</v>
      </c>
      <c r="G407" s="8">
        <f t="shared" si="36"/>
        <v>0</v>
      </c>
      <c r="H407" s="8">
        <f t="shared" si="36"/>
        <v>0</v>
      </c>
      <c r="I407" s="8">
        <f t="shared" si="36"/>
        <v>5</v>
      </c>
      <c r="J407" s="8">
        <f t="shared" si="41"/>
        <v>0</v>
      </c>
      <c r="K407" s="15">
        <v>1.1805555550381541E-3</v>
      </c>
      <c r="M407" s="8">
        <f t="shared" si="39"/>
        <v>502</v>
      </c>
      <c r="N407" s="9" t="s">
        <v>63</v>
      </c>
      <c r="O407" s="9" t="s">
        <v>16</v>
      </c>
      <c r="P407" s="9">
        <v>755</v>
      </c>
      <c r="Q407" s="9">
        <v>105</v>
      </c>
      <c r="R407" s="8" t="s">
        <v>17</v>
      </c>
      <c r="S407" s="11">
        <v>115</v>
      </c>
      <c r="T407" s="10">
        <v>0.27</v>
      </c>
    </row>
    <row r="408" spans="1:20" x14ac:dyDescent="0.3">
      <c r="A408" s="7">
        <f t="shared" si="40"/>
        <v>403</v>
      </c>
      <c r="B408" s="8">
        <v>4</v>
      </c>
      <c r="C408" s="9" t="str">
        <f t="shared" si="37"/>
        <v>5030x85185fe3A4e36079818Ba1d12705A9B6898997040xa60AdD2af71a4f50b3F94509E71a1e9DbDeA5dDa668180unidade130027</v>
      </c>
      <c r="D408" s="13"/>
      <c r="E408" s="8" t="s">
        <v>870</v>
      </c>
      <c r="F408" s="8">
        <f t="shared" ref="F408:I471" si="42">IFERROR(VALUE(MID($E408,F$1,1)),1)</f>
        <v>0</v>
      </c>
      <c r="G408" s="8">
        <f t="shared" si="42"/>
        <v>0</v>
      </c>
      <c r="H408" s="8">
        <f t="shared" si="42"/>
        <v>0</v>
      </c>
      <c r="I408" s="8">
        <f t="shared" si="42"/>
        <v>1</v>
      </c>
      <c r="J408" s="8">
        <f t="shared" si="41"/>
        <v>0</v>
      </c>
      <c r="K408" s="15">
        <v>0</v>
      </c>
      <c r="M408" s="8">
        <f t="shared" si="39"/>
        <v>503</v>
      </c>
      <c r="N408" s="9" t="s">
        <v>63</v>
      </c>
      <c r="O408" s="9" t="s">
        <v>16</v>
      </c>
      <c r="P408" s="9">
        <v>668</v>
      </c>
      <c r="Q408" s="9">
        <v>180</v>
      </c>
      <c r="R408" s="8" t="s">
        <v>17</v>
      </c>
      <c r="S408" s="11">
        <v>13</v>
      </c>
      <c r="T408" s="10">
        <v>0.27</v>
      </c>
    </row>
    <row r="409" spans="1:20" x14ac:dyDescent="0.3">
      <c r="A409" s="7">
        <f t="shared" si="40"/>
        <v>404</v>
      </c>
      <c r="B409" s="8">
        <v>1100</v>
      </c>
      <c r="C409" s="9" t="str">
        <f t="shared" si="37"/>
        <v>5040x85185fe3A4e36079818Ba1d12705A9B6898997040xa60AdD2af71a4f50b3F94509E71a1e9DbDeA5dDa417135unidade350027</v>
      </c>
      <c r="D409" s="13"/>
      <c r="E409" s="8" t="s">
        <v>871</v>
      </c>
      <c r="F409" s="8">
        <f t="shared" si="42"/>
        <v>0</v>
      </c>
      <c r="G409" s="8">
        <f t="shared" si="42"/>
        <v>0</v>
      </c>
      <c r="H409" s="8">
        <f t="shared" si="42"/>
        <v>0</v>
      </c>
      <c r="I409" s="8">
        <f t="shared" si="42"/>
        <v>1</v>
      </c>
      <c r="J409" s="8">
        <f t="shared" si="41"/>
        <v>0</v>
      </c>
      <c r="K409" s="15">
        <v>2.0833333837799728E-4</v>
      </c>
      <c r="M409" s="8">
        <f t="shared" si="39"/>
        <v>504</v>
      </c>
      <c r="N409" s="9" t="s">
        <v>63</v>
      </c>
      <c r="O409" s="9" t="s">
        <v>16</v>
      </c>
      <c r="P409" s="9">
        <v>417</v>
      </c>
      <c r="Q409" s="9">
        <v>135</v>
      </c>
      <c r="R409" s="8" t="s">
        <v>17</v>
      </c>
      <c r="S409" s="11">
        <v>35</v>
      </c>
      <c r="T409" s="10">
        <v>0.27</v>
      </c>
    </row>
    <row r="410" spans="1:20" x14ac:dyDescent="0.3">
      <c r="A410" s="7">
        <f t="shared" si="40"/>
        <v>405</v>
      </c>
      <c r="B410" s="8">
        <v>1572</v>
      </c>
      <c r="C410" s="9" t="str">
        <f t="shared" si="37"/>
        <v>5050x85185fe3A4e36079818Ba1d12705A9B6898997040xa60AdD2af71a4f50b3F94509E71a1e9DbDeA5dDa1772156unidade920027</v>
      </c>
      <c r="D410" s="13"/>
      <c r="E410" s="8" t="s">
        <v>872</v>
      </c>
      <c r="F410" s="8">
        <f t="shared" si="42"/>
        <v>0</v>
      </c>
      <c r="G410" s="8">
        <f t="shared" si="42"/>
        <v>0</v>
      </c>
      <c r="H410" s="8">
        <f t="shared" si="42"/>
        <v>0</v>
      </c>
      <c r="I410" s="8">
        <f t="shared" si="42"/>
        <v>1</v>
      </c>
      <c r="J410" s="8">
        <f t="shared" si="41"/>
        <v>0</v>
      </c>
      <c r="K410" s="15">
        <v>3.8194443914107978E-4</v>
      </c>
      <c r="M410" s="8">
        <f t="shared" si="39"/>
        <v>505</v>
      </c>
      <c r="N410" s="9" t="s">
        <v>63</v>
      </c>
      <c r="O410" s="9" t="s">
        <v>16</v>
      </c>
      <c r="P410" s="9">
        <v>1772</v>
      </c>
      <c r="Q410" s="9">
        <v>156</v>
      </c>
      <c r="R410" s="8" t="s">
        <v>17</v>
      </c>
      <c r="S410" s="11">
        <v>92</v>
      </c>
      <c r="T410" s="10">
        <v>0.27</v>
      </c>
    </row>
    <row r="411" spans="1:20" x14ac:dyDescent="0.3">
      <c r="A411" s="7">
        <f t="shared" si="40"/>
        <v>406</v>
      </c>
      <c r="B411" s="8">
        <v>7490</v>
      </c>
      <c r="C411" s="9" t="str">
        <f t="shared" si="37"/>
        <v>5060x85185fe3A4e36079818Ba1d12705A9B6898997040xa60AdD2af71a4f50b3F94509E71a1e9DbDeA5dDa433144unidade420027</v>
      </c>
      <c r="D411" s="13"/>
      <c r="E411" s="8" t="s">
        <v>873</v>
      </c>
      <c r="F411" s="8">
        <f t="shared" si="42"/>
        <v>0</v>
      </c>
      <c r="G411" s="8">
        <f t="shared" si="42"/>
        <v>0</v>
      </c>
      <c r="H411" s="8">
        <f t="shared" si="42"/>
        <v>0</v>
      </c>
      <c r="I411" s="8">
        <f t="shared" si="42"/>
        <v>1</v>
      </c>
      <c r="J411" s="8">
        <f t="shared" si="41"/>
        <v>0</v>
      </c>
      <c r="K411" s="15">
        <v>7.638888928340748E-4</v>
      </c>
      <c r="M411" s="8">
        <f t="shared" si="39"/>
        <v>506</v>
      </c>
      <c r="N411" s="9" t="s">
        <v>63</v>
      </c>
      <c r="O411" s="9" t="s">
        <v>16</v>
      </c>
      <c r="P411" s="9">
        <v>433</v>
      </c>
      <c r="Q411" s="9">
        <v>144</v>
      </c>
      <c r="R411" s="8" t="s">
        <v>17</v>
      </c>
      <c r="S411" s="11">
        <v>42</v>
      </c>
      <c r="T411" s="10">
        <v>0.27</v>
      </c>
    </row>
    <row r="412" spans="1:20" x14ac:dyDescent="0.3">
      <c r="A412" s="7">
        <f t="shared" si="40"/>
        <v>407</v>
      </c>
      <c r="B412" s="8">
        <v>326</v>
      </c>
      <c r="C412" s="9" t="str">
        <f t="shared" si="37"/>
        <v>5070x85185fe3A4e36079818Ba1d12705A9B6898997040xa60AdD2af71a4f50b3F94509E71a1e9DbDeA5dDa557107unidade490027</v>
      </c>
      <c r="D412" s="13"/>
      <c r="E412" s="8" t="s">
        <v>874</v>
      </c>
      <c r="F412" s="8">
        <f t="shared" si="42"/>
        <v>0</v>
      </c>
      <c r="G412" s="8">
        <f t="shared" si="42"/>
        <v>0</v>
      </c>
      <c r="H412" s="8">
        <f t="shared" si="42"/>
        <v>0</v>
      </c>
      <c r="I412" s="8">
        <f t="shared" si="42"/>
        <v>0</v>
      </c>
      <c r="J412" s="8">
        <f t="shared" si="41"/>
        <v>0</v>
      </c>
      <c r="K412" s="15">
        <v>3.4722223062999547E-5</v>
      </c>
      <c r="M412" s="8">
        <f t="shared" si="39"/>
        <v>507</v>
      </c>
      <c r="N412" s="9" t="s">
        <v>63</v>
      </c>
      <c r="O412" s="9" t="s">
        <v>16</v>
      </c>
      <c r="P412" s="9">
        <v>557</v>
      </c>
      <c r="Q412" s="9">
        <v>107</v>
      </c>
      <c r="R412" s="8" t="s">
        <v>17</v>
      </c>
      <c r="S412" s="11">
        <v>49</v>
      </c>
      <c r="T412" s="10">
        <v>0.27</v>
      </c>
    </row>
    <row r="413" spans="1:20" x14ac:dyDescent="0.3">
      <c r="A413" s="7">
        <f t="shared" si="40"/>
        <v>408</v>
      </c>
      <c r="B413" s="8">
        <v>3095</v>
      </c>
      <c r="C413" s="9" t="str">
        <f t="shared" si="37"/>
        <v>5080x85185fe3A4e36079818Ba1d12705A9B6898997040xa60AdD2af71a4f50b3F94509E71a1e9DbDeA5dDa1980168unidade1050027</v>
      </c>
      <c r="D413" s="13"/>
      <c r="E413" s="8" t="s">
        <v>875</v>
      </c>
      <c r="F413" s="8">
        <f t="shared" si="42"/>
        <v>0</v>
      </c>
      <c r="G413" s="8">
        <f t="shared" si="42"/>
        <v>0</v>
      </c>
      <c r="H413" s="8">
        <f t="shared" si="42"/>
        <v>0</v>
      </c>
      <c r="I413" s="8">
        <f t="shared" si="42"/>
        <v>1</v>
      </c>
      <c r="J413" s="8">
        <f t="shared" si="41"/>
        <v>0</v>
      </c>
      <c r="K413" s="15">
        <v>3.2407406979473308E-4</v>
      </c>
      <c r="M413" s="8">
        <f t="shared" si="39"/>
        <v>508</v>
      </c>
      <c r="N413" s="9" t="s">
        <v>63</v>
      </c>
      <c r="O413" s="9" t="s">
        <v>16</v>
      </c>
      <c r="P413" s="9">
        <v>1980</v>
      </c>
      <c r="Q413" s="9">
        <v>168</v>
      </c>
      <c r="R413" s="8" t="s">
        <v>17</v>
      </c>
      <c r="S413" s="11">
        <v>105</v>
      </c>
      <c r="T413" s="10">
        <v>0.27</v>
      </c>
    </row>
    <row r="414" spans="1:20" x14ac:dyDescent="0.3">
      <c r="A414" s="7">
        <f t="shared" si="40"/>
        <v>409</v>
      </c>
      <c r="B414" s="8">
        <v>6307</v>
      </c>
      <c r="C414" s="9" t="str">
        <f t="shared" si="37"/>
        <v>5090x85185fe3A4e36079818Ba1d12705A9B6898997040xa60AdD2af71a4f50b3F94509E71a1e9DbDeA5dDa430180unidade460027</v>
      </c>
      <c r="D414" s="13"/>
      <c r="E414" s="8" t="s">
        <v>876</v>
      </c>
      <c r="F414" s="8">
        <f t="shared" si="42"/>
        <v>0</v>
      </c>
      <c r="G414" s="8">
        <f t="shared" si="42"/>
        <v>0</v>
      </c>
      <c r="H414" s="8">
        <f t="shared" si="42"/>
        <v>0</v>
      </c>
      <c r="I414" s="8">
        <f t="shared" si="42"/>
        <v>2</v>
      </c>
      <c r="J414" s="8">
        <f t="shared" si="41"/>
        <v>0</v>
      </c>
      <c r="K414" s="15">
        <v>8.6805555474711582E-4</v>
      </c>
      <c r="M414" s="8">
        <f t="shared" si="39"/>
        <v>509</v>
      </c>
      <c r="N414" s="9" t="s">
        <v>63</v>
      </c>
      <c r="O414" s="9" t="s">
        <v>16</v>
      </c>
      <c r="P414" s="9">
        <v>430</v>
      </c>
      <c r="Q414" s="9">
        <v>180</v>
      </c>
      <c r="R414" s="8" t="s">
        <v>17</v>
      </c>
      <c r="S414" s="11">
        <v>46</v>
      </c>
      <c r="T414" s="10">
        <v>0.27</v>
      </c>
    </row>
    <row r="415" spans="1:20" x14ac:dyDescent="0.3">
      <c r="A415" s="7">
        <f t="shared" si="40"/>
        <v>410</v>
      </c>
      <c r="B415" s="8">
        <v>4135</v>
      </c>
      <c r="C415" s="9" t="str">
        <f t="shared" si="37"/>
        <v>5100x85185fe3A4e36079818Ba1d12705A9B6898997040xa60AdD2af71a4f50b3F94509E71a1e9DbDeA5dDa1692130unidade820027</v>
      </c>
      <c r="D415" s="13"/>
      <c r="E415" s="8" t="s">
        <v>877</v>
      </c>
      <c r="F415" s="8">
        <f t="shared" si="42"/>
        <v>0</v>
      </c>
      <c r="G415" s="8">
        <f t="shared" si="42"/>
        <v>0</v>
      </c>
      <c r="H415" s="8">
        <f t="shared" si="42"/>
        <v>0</v>
      </c>
      <c r="I415" s="8">
        <f t="shared" si="42"/>
        <v>3</v>
      </c>
      <c r="J415" s="8">
        <f t="shared" si="41"/>
        <v>0</v>
      </c>
      <c r="K415" s="15">
        <v>3.819444464170374E-4</v>
      </c>
      <c r="M415" s="8">
        <f t="shared" si="39"/>
        <v>510</v>
      </c>
      <c r="N415" s="9" t="s">
        <v>63</v>
      </c>
      <c r="O415" s="9" t="s">
        <v>16</v>
      </c>
      <c r="P415" s="9">
        <v>1692</v>
      </c>
      <c r="Q415" s="9">
        <v>130</v>
      </c>
      <c r="R415" s="8" t="s">
        <v>17</v>
      </c>
      <c r="S415" s="11">
        <v>82</v>
      </c>
      <c r="T415" s="10">
        <v>0.27</v>
      </c>
    </row>
    <row r="416" spans="1:20" x14ac:dyDescent="0.3">
      <c r="A416" s="7">
        <f t="shared" si="40"/>
        <v>411</v>
      </c>
      <c r="B416" s="8">
        <v>3835</v>
      </c>
      <c r="C416" s="9" t="str">
        <f t="shared" si="37"/>
        <v>5110x85185fe3A4e36079818Ba1d12705A9B6898997040xa60AdD2af71a4f50b3F94509E71a1e9DbDeA5dDa626197unidade340027</v>
      </c>
      <c r="D416" s="13"/>
      <c r="E416" s="8" t="s">
        <v>878</v>
      </c>
      <c r="F416" s="8">
        <f t="shared" si="42"/>
        <v>0</v>
      </c>
      <c r="G416" s="8">
        <f t="shared" si="42"/>
        <v>0</v>
      </c>
      <c r="H416" s="8">
        <f t="shared" si="42"/>
        <v>0</v>
      </c>
      <c r="I416" s="8">
        <f t="shared" si="42"/>
        <v>9</v>
      </c>
      <c r="J416" s="8">
        <f t="shared" si="41"/>
        <v>0</v>
      </c>
      <c r="K416" s="15">
        <v>4.6296296204673126E-4</v>
      </c>
      <c r="M416" s="8">
        <f t="shared" si="39"/>
        <v>511</v>
      </c>
      <c r="N416" s="9" t="s">
        <v>63</v>
      </c>
      <c r="O416" s="9" t="s">
        <v>16</v>
      </c>
      <c r="P416" s="9">
        <v>626</v>
      </c>
      <c r="Q416" s="9">
        <v>197</v>
      </c>
      <c r="R416" s="8" t="s">
        <v>17</v>
      </c>
      <c r="S416" s="11">
        <v>34</v>
      </c>
      <c r="T416" s="10">
        <v>0.27</v>
      </c>
    </row>
    <row r="417" spans="1:20" x14ac:dyDescent="0.3">
      <c r="A417" s="7">
        <f t="shared" si="40"/>
        <v>412</v>
      </c>
      <c r="B417" s="8">
        <v>4322</v>
      </c>
      <c r="C417" s="9" t="str">
        <f t="shared" si="37"/>
        <v>5120x85185fe3A4e36079818Ba1d12705A9B6898997040xa60AdD2af71a4f50b3F94509E71a1e9DbDeA5dDa392154unidade380027</v>
      </c>
      <c r="D417" s="13"/>
      <c r="E417" s="8" t="s">
        <v>879</v>
      </c>
      <c r="F417" s="8">
        <f t="shared" si="42"/>
        <v>0</v>
      </c>
      <c r="G417" s="8">
        <f t="shared" si="42"/>
        <v>0</v>
      </c>
      <c r="H417" s="8">
        <f t="shared" si="42"/>
        <v>0</v>
      </c>
      <c r="I417" s="8">
        <f t="shared" si="42"/>
        <v>1</v>
      </c>
      <c r="J417" s="8">
        <f t="shared" si="41"/>
        <v>0</v>
      </c>
      <c r="K417" s="15">
        <v>5.5555555445607752E-4</v>
      </c>
      <c r="M417" s="8">
        <f t="shared" si="39"/>
        <v>512</v>
      </c>
      <c r="N417" s="9" t="s">
        <v>63</v>
      </c>
      <c r="O417" s="9" t="s">
        <v>16</v>
      </c>
      <c r="P417" s="9">
        <v>392</v>
      </c>
      <c r="Q417" s="9">
        <v>154</v>
      </c>
      <c r="R417" s="8" t="s">
        <v>17</v>
      </c>
      <c r="S417" s="11">
        <v>38</v>
      </c>
      <c r="T417" s="10">
        <v>0.27</v>
      </c>
    </row>
    <row r="418" spans="1:20" x14ac:dyDescent="0.3">
      <c r="A418" s="7">
        <f t="shared" si="40"/>
        <v>413</v>
      </c>
      <c r="B418" s="8">
        <v>972</v>
      </c>
      <c r="C418" s="9" t="str">
        <f t="shared" si="37"/>
        <v>5130x85185fe3A4e36079818Ba1d12705A9B6898997040xa60AdD2af71a4f50b3F94509E71a1e9DbDeA5dDa1968167unidade220027</v>
      </c>
      <c r="D418" s="13"/>
      <c r="E418" s="8" t="s">
        <v>880</v>
      </c>
      <c r="F418" s="8">
        <f t="shared" si="42"/>
        <v>0</v>
      </c>
      <c r="G418" s="8">
        <f t="shared" si="42"/>
        <v>0</v>
      </c>
      <c r="H418" s="8">
        <f t="shared" si="42"/>
        <v>0</v>
      </c>
      <c r="I418" s="8">
        <f t="shared" si="42"/>
        <v>1</v>
      </c>
      <c r="J418" s="8">
        <f t="shared" si="41"/>
        <v>0</v>
      </c>
      <c r="K418" s="15">
        <v>1.273148154723458E-4</v>
      </c>
      <c r="M418" s="8">
        <f t="shared" si="39"/>
        <v>513</v>
      </c>
      <c r="N418" s="9" t="s">
        <v>63</v>
      </c>
      <c r="O418" s="9" t="s">
        <v>16</v>
      </c>
      <c r="P418" s="9">
        <v>1968</v>
      </c>
      <c r="Q418" s="9">
        <v>167</v>
      </c>
      <c r="R418" s="8" t="s">
        <v>17</v>
      </c>
      <c r="S418" s="11">
        <v>22</v>
      </c>
      <c r="T418" s="10">
        <v>0.27</v>
      </c>
    </row>
    <row r="419" spans="1:20" x14ac:dyDescent="0.3">
      <c r="A419" s="7">
        <f t="shared" si="40"/>
        <v>414</v>
      </c>
      <c r="B419" s="8">
        <v>2795</v>
      </c>
      <c r="C419" s="9" t="str">
        <f t="shared" si="37"/>
        <v>5140x85185fe3A4e36079818Ba1d12705A9B6898997040xa60AdD2af71a4f50b3F94509E71a1e9DbDeA5dDa668129unidade730027</v>
      </c>
      <c r="D419" s="13"/>
      <c r="E419" s="8" t="s">
        <v>881</v>
      </c>
      <c r="F419" s="8">
        <f t="shared" si="42"/>
        <v>0</v>
      </c>
      <c r="G419" s="8">
        <f t="shared" si="42"/>
        <v>0</v>
      </c>
      <c r="H419" s="8">
        <f t="shared" si="42"/>
        <v>0</v>
      </c>
      <c r="I419" s="8">
        <f t="shared" si="42"/>
        <v>4</v>
      </c>
      <c r="J419" s="8">
        <f t="shared" si="41"/>
        <v>0</v>
      </c>
      <c r="K419" s="15">
        <v>3.4722222335403785E-4</v>
      </c>
      <c r="M419" s="8">
        <f t="shared" si="39"/>
        <v>514</v>
      </c>
      <c r="N419" s="9" t="s">
        <v>63</v>
      </c>
      <c r="O419" s="9" t="s">
        <v>16</v>
      </c>
      <c r="P419" s="9">
        <v>668</v>
      </c>
      <c r="Q419" s="9">
        <v>129</v>
      </c>
      <c r="R419" s="8" t="s">
        <v>17</v>
      </c>
      <c r="S419" s="11">
        <v>73</v>
      </c>
      <c r="T419" s="10">
        <v>0.27</v>
      </c>
    </row>
    <row r="420" spans="1:20" x14ac:dyDescent="0.3">
      <c r="A420" s="7">
        <f t="shared" si="40"/>
        <v>415</v>
      </c>
      <c r="B420" s="8">
        <v>4921</v>
      </c>
      <c r="C420" s="9" t="str">
        <f t="shared" si="37"/>
        <v>5150x85185fe3A4e36079818Ba1d12705A9B6898997040xa60AdD2af71a4f50b3F94509E71a1e9DbDeA5dDa1361134unidade1100027</v>
      </c>
      <c r="D420" s="13"/>
      <c r="E420" s="8" t="s">
        <v>882</v>
      </c>
      <c r="F420" s="8">
        <f t="shared" si="42"/>
        <v>0</v>
      </c>
      <c r="G420" s="8">
        <f t="shared" si="42"/>
        <v>0</v>
      </c>
      <c r="H420" s="8">
        <f t="shared" si="42"/>
        <v>0</v>
      </c>
      <c r="I420" s="8">
        <f t="shared" si="42"/>
        <v>5</v>
      </c>
      <c r="J420" s="8">
        <f t="shared" si="41"/>
        <v>0</v>
      </c>
      <c r="K420" s="15">
        <v>4.9768518510973081E-4</v>
      </c>
      <c r="M420" s="8">
        <f t="shared" si="39"/>
        <v>515</v>
      </c>
      <c r="N420" s="9" t="s">
        <v>63</v>
      </c>
      <c r="O420" s="9" t="s">
        <v>16</v>
      </c>
      <c r="P420" s="9">
        <v>1361</v>
      </c>
      <c r="Q420" s="9">
        <v>134</v>
      </c>
      <c r="R420" s="8" t="s">
        <v>17</v>
      </c>
      <c r="S420" s="11">
        <v>110</v>
      </c>
      <c r="T420" s="10">
        <v>0.27</v>
      </c>
    </row>
    <row r="421" spans="1:20" x14ac:dyDescent="0.3">
      <c r="A421" s="7">
        <f t="shared" si="40"/>
        <v>416</v>
      </c>
      <c r="B421" s="8">
        <v>3778</v>
      </c>
      <c r="C421" s="9" t="str">
        <f t="shared" si="37"/>
        <v>5160x85185fe3A4e36079818Ba1d12705A9B6898997040xa60AdD2af71a4f50b3F94509E71a1e9DbDeA5dDa430153unidade550027</v>
      </c>
      <c r="D421" s="13"/>
      <c r="E421" s="8" t="s">
        <v>883</v>
      </c>
      <c r="F421" s="8">
        <f t="shared" si="42"/>
        <v>0</v>
      </c>
      <c r="G421" s="8">
        <f t="shared" si="42"/>
        <v>0</v>
      </c>
      <c r="H421" s="8">
        <f t="shared" si="42"/>
        <v>0</v>
      </c>
      <c r="I421" s="8">
        <f t="shared" si="42"/>
        <v>7</v>
      </c>
      <c r="J421" s="8">
        <f t="shared" si="41"/>
        <v>0</v>
      </c>
      <c r="K421" s="15">
        <v>4.0509259270038456E-4</v>
      </c>
      <c r="M421" s="8">
        <f t="shared" si="39"/>
        <v>516</v>
      </c>
      <c r="N421" s="9" t="s">
        <v>63</v>
      </c>
      <c r="O421" s="9" t="s">
        <v>16</v>
      </c>
      <c r="P421" s="9">
        <v>430</v>
      </c>
      <c r="Q421" s="9">
        <v>153</v>
      </c>
      <c r="R421" s="8" t="s">
        <v>17</v>
      </c>
      <c r="S421" s="11">
        <v>55</v>
      </c>
      <c r="T421" s="10">
        <v>0.27</v>
      </c>
    </row>
    <row r="422" spans="1:20" x14ac:dyDescent="0.3">
      <c r="A422" s="7">
        <f t="shared" si="40"/>
        <v>417</v>
      </c>
      <c r="B422" s="8">
        <v>2859</v>
      </c>
      <c r="C422" s="9" t="str">
        <f t="shared" si="37"/>
        <v>5170x85185fe3A4e36079818Ba1d12705A9B6898997040xa60AdD2af71a4f50b3F94509E71a1e9DbDeA5dDa1246101unidade850027</v>
      </c>
      <c r="D422" s="13"/>
      <c r="E422" s="8" t="s">
        <v>884</v>
      </c>
      <c r="F422" s="8">
        <f t="shared" si="42"/>
        <v>0</v>
      </c>
      <c r="G422" s="8">
        <f t="shared" si="42"/>
        <v>0</v>
      </c>
      <c r="H422" s="8">
        <f t="shared" si="42"/>
        <v>0</v>
      </c>
      <c r="I422" s="8">
        <f t="shared" si="42"/>
        <v>1</v>
      </c>
      <c r="J422" s="8">
        <f t="shared" si="41"/>
        <v>0</v>
      </c>
      <c r="K422" s="15">
        <v>2.0833333110203966E-4</v>
      </c>
      <c r="M422" s="8">
        <f t="shared" si="39"/>
        <v>517</v>
      </c>
      <c r="N422" s="9" t="s">
        <v>63</v>
      </c>
      <c r="O422" s="9" t="s">
        <v>16</v>
      </c>
      <c r="P422" s="9">
        <v>1246</v>
      </c>
      <c r="Q422" s="9">
        <v>101</v>
      </c>
      <c r="R422" s="8" t="s">
        <v>17</v>
      </c>
      <c r="S422" s="11">
        <v>85</v>
      </c>
      <c r="T422" s="10">
        <v>0.27</v>
      </c>
    </row>
    <row r="423" spans="1:20" x14ac:dyDescent="0.3">
      <c r="A423" s="7">
        <f t="shared" si="40"/>
        <v>418</v>
      </c>
      <c r="B423" s="8">
        <v>1784</v>
      </c>
      <c r="C423" s="9" t="str">
        <f t="shared" si="37"/>
        <v>5180x85185fe3A4e36079818Ba1d12705A9B6898997040xa60AdD2af71a4f50b3F94509E71a1e9DbDeA5dDa1171148unidade600027</v>
      </c>
      <c r="D423" s="13"/>
      <c r="E423" s="8" t="s">
        <v>885</v>
      </c>
      <c r="F423" s="8">
        <f t="shared" si="42"/>
        <v>0</v>
      </c>
      <c r="G423" s="8">
        <f t="shared" si="42"/>
        <v>0</v>
      </c>
      <c r="H423" s="8">
        <f t="shared" si="42"/>
        <v>0</v>
      </c>
      <c r="I423" s="8">
        <f t="shared" si="42"/>
        <v>1</v>
      </c>
      <c r="J423" s="8">
        <f t="shared" si="41"/>
        <v>0</v>
      </c>
      <c r="K423" s="15">
        <v>1.1574073869269341E-4</v>
      </c>
      <c r="M423" s="8">
        <f t="shared" si="39"/>
        <v>518</v>
      </c>
      <c r="N423" s="9" t="s">
        <v>63</v>
      </c>
      <c r="O423" s="9" t="s">
        <v>16</v>
      </c>
      <c r="P423" s="9">
        <v>1171</v>
      </c>
      <c r="Q423" s="9">
        <v>148</v>
      </c>
      <c r="R423" s="8" t="s">
        <v>17</v>
      </c>
      <c r="S423" s="11">
        <v>60</v>
      </c>
      <c r="T423" s="10">
        <v>0.27</v>
      </c>
    </row>
    <row r="424" spans="1:20" x14ac:dyDescent="0.3">
      <c r="A424" s="7">
        <f t="shared" si="40"/>
        <v>419</v>
      </c>
      <c r="B424" s="8">
        <v>1146</v>
      </c>
      <c r="C424" s="9" t="str">
        <f t="shared" si="37"/>
        <v>5190x85185fe3A4e36079818Ba1d12705A9B6898997040xa60AdD2af71a4f50b3F94509E71a1e9DbDeA5dDa1265104unidade690027</v>
      </c>
      <c r="D424" s="13"/>
      <c r="E424" s="8" t="s">
        <v>886</v>
      </c>
      <c r="F424" s="8">
        <f t="shared" si="42"/>
        <v>0</v>
      </c>
      <c r="G424" s="8">
        <f t="shared" si="42"/>
        <v>0</v>
      </c>
      <c r="H424" s="8">
        <f t="shared" si="42"/>
        <v>0</v>
      </c>
      <c r="I424" s="8">
        <f t="shared" si="42"/>
        <v>1</v>
      </c>
      <c r="J424" s="8">
        <f t="shared" si="41"/>
        <v>0</v>
      </c>
      <c r="K424" s="15">
        <v>1.273148154723458E-4</v>
      </c>
      <c r="M424" s="8">
        <f t="shared" si="39"/>
        <v>519</v>
      </c>
      <c r="N424" s="9" t="s">
        <v>63</v>
      </c>
      <c r="O424" s="9" t="s">
        <v>16</v>
      </c>
      <c r="P424" s="9">
        <v>1265</v>
      </c>
      <c r="Q424" s="9">
        <v>104</v>
      </c>
      <c r="R424" s="8" t="s">
        <v>17</v>
      </c>
      <c r="S424" s="11">
        <v>69</v>
      </c>
      <c r="T424" s="10">
        <v>0.27</v>
      </c>
    </row>
    <row r="425" spans="1:20" x14ac:dyDescent="0.3">
      <c r="A425" s="7">
        <f t="shared" si="40"/>
        <v>420</v>
      </c>
      <c r="B425" s="8">
        <v>2001</v>
      </c>
      <c r="C425" s="9" t="str">
        <f t="shared" si="37"/>
        <v>5200x85185fe3A4e36079818Ba1d12705A9B6898997040xa60AdD2af71a4f50b3F94509E71a1e9DbDeA5dDa1598152unidade440027</v>
      </c>
      <c r="D425" s="13"/>
      <c r="E425" s="8" t="s">
        <v>887</v>
      </c>
      <c r="F425" s="8">
        <f t="shared" si="42"/>
        <v>0</v>
      </c>
      <c r="G425" s="8">
        <f t="shared" si="42"/>
        <v>0</v>
      </c>
      <c r="H425" s="8">
        <f t="shared" si="42"/>
        <v>0</v>
      </c>
      <c r="I425" s="8">
        <f t="shared" si="42"/>
        <v>9</v>
      </c>
      <c r="J425" s="8">
        <f t="shared" si="41"/>
        <v>0</v>
      </c>
      <c r="K425" s="15">
        <v>2.3148147738538682E-4</v>
      </c>
      <c r="M425" s="8">
        <f t="shared" si="39"/>
        <v>520</v>
      </c>
      <c r="N425" s="9" t="s">
        <v>63</v>
      </c>
      <c r="O425" s="9" t="s">
        <v>16</v>
      </c>
      <c r="P425" s="9">
        <v>1598</v>
      </c>
      <c r="Q425" s="9">
        <v>152</v>
      </c>
      <c r="R425" s="8" t="s">
        <v>17</v>
      </c>
      <c r="S425" s="11">
        <v>44</v>
      </c>
      <c r="T425" s="10">
        <v>0.27</v>
      </c>
    </row>
    <row r="426" spans="1:20" x14ac:dyDescent="0.3">
      <c r="A426" s="7">
        <f t="shared" si="40"/>
        <v>421</v>
      </c>
      <c r="B426" s="8">
        <v>1921</v>
      </c>
      <c r="C426" s="9" t="str">
        <f t="shared" ref="C426:C489" si="43">M426&amp;N426&amp;O426&amp;P426&amp;Q426&amp;R426&amp;(S426*100)&amp;(T426*100)</f>
        <v>5210x85185fe3A4e36079818Ba1d12705A9B6898997040xa60AdD2af71a4f50b3F94509E71a1e9DbDeA5dDa424124unidade520027</v>
      </c>
      <c r="D426" s="13"/>
      <c r="E426" s="8" t="s">
        <v>888</v>
      </c>
      <c r="F426" s="8">
        <f t="shared" si="42"/>
        <v>0</v>
      </c>
      <c r="G426" s="8">
        <f t="shared" si="42"/>
        <v>0</v>
      </c>
      <c r="H426" s="8">
        <f t="shared" si="42"/>
        <v>0</v>
      </c>
      <c r="I426" s="8">
        <f t="shared" si="42"/>
        <v>1</v>
      </c>
      <c r="J426" s="8">
        <f t="shared" si="41"/>
        <v>0</v>
      </c>
      <c r="K426" s="15">
        <v>2.4305556144099683E-4</v>
      </c>
      <c r="M426" s="8">
        <f t="shared" si="39"/>
        <v>521</v>
      </c>
      <c r="N426" s="9" t="s">
        <v>63</v>
      </c>
      <c r="O426" s="9" t="s">
        <v>16</v>
      </c>
      <c r="P426" s="9">
        <v>424</v>
      </c>
      <c r="Q426" s="9">
        <v>124</v>
      </c>
      <c r="R426" s="8" t="s">
        <v>17</v>
      </c>
      <c r="S426" s="11">
        <v>52</v>
      </c>
      <c r="T426" s="10">
        <v>0.27</v>
      </c>
    </row>
    <row r="427" spans="1:20" x14ac:dyDescent="0.3">
      <c r="A427" s="7">
        <f t="shared" si="40"/>
        <v>422</v>
      </c>
      <c r="B427" s="8">
        <v>2457</v>
      </c>
      <c r="C427" s="9" t="str">
        <f t="shared" si="43"/>
        <v>5220x85185fe3A4e36079818Ba1d12705A9B6898997040xa60AdD2af71a4f50b3F94509E71a1e9DbDeA5dDa1096131unidade1070027</v>
      </c>
      <c r="D427" s="13"/>
      <c r="E427" s="8" t="s">
        <v>889</v>
      </c>
      <c r="F427" s="8">
        <f t="shared" si="42"/>
        <v>0</v>
      </c>
      <c r="G427" s="8">
        <f t="shared" si="42"/>
        <v>0</v>
      </c>
      <c r="H427" s="8">
        <f t="shared" si="42"/>
        <v>0</v>
      </c>
      <c r="I427" s="8">
        <f t="shared" si="42"/>
        <v>1</v>
      </c>
      <c r="J427" s="8">
        <f t="shared" si="41"/>
        <v>0</v>
      </c>
      <c r="K427" s="15">
        <v>2.3148147738538682E-4</v>
      </c>
      <c r="M427" s="8">
        <f t="shared" si="39"/>
        <v>522</v>
      </c>
      <c r="N427" s="9" t="s">
        <v>63</v>
      </c>
      <c r="O427" s="9" t="s">
        <v>16</v>
      </c>
      <c r="P427" s="9">
        <v>1096</v>
      </c>
      <c r="Q427" s="9">
        <v>131</v>
      </c>
      <c r="R427" s="8" t="s">
        <v>17</v>
      </c>
      <c r="S427" s="11">
        <v>107</v>
      </c>
      <c r="T427" s="10">
        <v>0.27</v>
      </c>
    </row>
    <row r="428" spans="1:20" x14ac:dyDescent="0.3">
      <c r="A428" s="7">
        <f t="shared" si="40"/>
        <v>423</v>
      </c>
      <c r="B428" s="8">
        <v>452</v>
      </c>
      <c r="C428" s="9" t="str">
        <f t="shared" si="43"/>
        <v>5230x85185fe3A4e36079818Ba1d12705A9B6898997040xa60AdD2af71a4f50b3F94509E71a1e9DbDeA5dDa1420176unidade1090027</v>
      </c>
      <c r="D428" s="13"/>
      <c r="E428" s="8" t="s">
        <v>890</v>
      </c>
      <c r="F428" s="8">
        <f t="shared" si="42"/>
        <v>0</v>
      </c>
      <c r="G428" s="8">
        <f t="shared" si="42"/>
        <v>0</v>
      </c>
      <c r="H428" s="8">
        <f t="shared" si="42"/>
        <v>0</v>
      </c>
      <c r="I428" s="8">
        <f t="shared" si="42"/>
        <v>1</v>
      </c>
      <c r="J428" s="8">
        <f t="shared" si="41"/>
        <v>0</v>
      </c>
      <c r="K428" s="15">
        <v>8.101852290565148E-5</v>
      </c>
      <c r="M428" s="8">
        <f t="shared" si="39"/>
        <v>523</v>
      </c>
      <c r="N428" s="9" t="s">
        <v>63</v>
      </c>
      <c r="O428" s="9" t="s">
        <v>16</v>
      </c>
      <c r="P428" s="9">
        <v>1420</v>
      </c>
      <c r="Q428" s="9">
        <v>176</v>
      </c>
      <c r="R428" s="8" t="s">
        <v>17</v>
      </c>
      <c r="S428" s="11">
        <v>109</v>
      </c>
      <c r="T428" s="10">
        <v>0.27</v>
      </c>
    </row>
    <row r="429" spans="1:20" x14ac:dyDescent="0.3">
      <c r="A429" s="7">
        <f t="shared" si="40"/>
        <v>424</v>
      </c>
      <c r="B429" s="8">
        <v>4395</v>
      </c>
      <c r="C429" s="9" t="str">
        <f t="shared" si="43"/>
        <v>5240x85185fe3A4e36079818Ba1d12705A9B6898997040xa60AdD2af71a4f50b3F94509E71a1e9DbDeA5dDa839120unidade510027</v>
      </c>
      <c r="D429" s="13"/>
      <c r="E429" s="8" t="s">
        <v>891</v>
      </c>
      <c r="F429" s="8">
        <f t="shared" si="42"/>
        <v>0</v>
      </c>
      <c r="G429" s="8">
        <f t="shared" si="42"/>
        <v>0</v>
      </c>
      <c r="H429" s="8">
        <f t="shared" si="42"/>
        <v>0</v>
      </c>
      <c r="I429" s="8">
        <f t="shared" si="42"/>
        <v>9</v>
      </c>
      <c r="J429" s="8">
        <f t="shared" si="41"/>
        <v>0</v>
      </c>
      <c r="K429" s="15">
        <v>4.2824073898373172E-4</v>
      </c>
      <c r="M429" s="8">
        <f t="shared" si="39"/>
        <v>524</v>
      </c>
      <c r="N429" s="9" t="s">
        <v>63</v>
      </c>
      <c r="O429" s="9" t="s">
        <v>16</v>
      </c>
      <c r="P429" s="9">
        <v>839</v>
      </c>
      <c r="Q429" s="9">
        <v>120</v>
      </c>
      <c r="R429" s="8" t="s">
        <v>17</v>
      </c>
      <c r="S429" s="11">
        <v>51</v>
      </c>
      <c r="T429" s="10">
        <v>0.27</v>
      </c>
    </row>
    <row r="430" spans="1:20" x14ac:dyDescent="0.3">
      <c r="A430" s="7">
        <f t="shared" si="40"/>
        <v>425</v>
      </c>
      <c r="B430" s="8">
        <v>1051</v>
      </c>
      <c r="C430" s="9" t="str">
        <f t="shared" si="43"/>
        <v>5250x85185fe3A4e36079818Ba1d12705A9B6898997040xa60AdD2af71a4f50b3F94509E71a1e9DbDeA5dDa1293135unidade580027</v>
      </c>
      <c r="D430" s="13"/>
      <c r="E430" s="8" t="s">
        <v>892</v>
      </c>
      <c r="F430" s="8">
        <f t="shared" si="42"/>
        <v>0</v>
      </c>
      <c r="G430" s="8">
        <f t="shared" si="42"/>
        <v>0</v>
      </c>
      <c r="H430" s="8">
        <f t="shared" si="42"/>
        <v>0</v>
      </c>
      <c r="I430" s="8">
        <f t="shared" si="42"/>
        <v>9</v>
      </c>
      <c r="J430" s="8">
        <f t="shared" si="41"/>
        <v>0</v>
      </c>
      <c r="K430" s="15">
        <v>1.0416666918899864E-4</v>
      </c>
      <c r="M430" s="8">
        <f t="shared" si="39"/>
        <v>525</v>
      </c>
      <c r="N430" s="9" t="s">
        <v>63</v>
      </c>
      <c r="O430" s="9" t="s">
        <v>16</v>
      </c>
      <c r="P430" s="9">
        <v>1293</v>
      </c>
      <c r="Q430" s="9">
        <v>135</v>
      </c>
      <c r="R430" s="8" t="s">
        <v>17</v>
      </c>
      <c r="S430" s="11">
        <v>58</v>
      </c>
      <c r="T430" s="10">
        <v>0.27</v>
      </c>
    </row>
    <row r="431" spans="1:20" x14ac:dyDescent="0.3">
      <c r="A431" s="7">
        <f t="shared" si="40"/>
        <v>426</v>
      </c>
      <c r="B431" s="8">
        <v>10659</v>
      </c>
      <c r="C431" s="9" t="str">
        <f t="shared" si="43"/>
        <v>5260x85185fe3A4e36079818Ba1d12705A9B6898997040xa60AdD2af71a4f50b3F94509E71a1e9DbDeA5dDa1696161unidade460027</v>
      </c>
      <c r="D431" s="13"/>
      <c r="E431" s="8" t="s">
        <v>893</v>
      </c>
      <c r="F431" s="8">
        <f t="shared" si="42"/>
        <v>0</v>
      </c>
      <c r="G431" s="8">
        <f t="shared" si="42"/>
        <v>0</v>
      </c>
      <c r="H431" s="8">
        <f t="shared" si="42"/>
        <v>0</v>
      </c>
      <c r="I431" s="8">
        <f t="shared" si="42"/>
        <v>4</v>
      </c>
      <c r="J431" s="8">
        <f t="shared" si="41"/>
        <v>0</v>
      </c>
      <c r="K431" s="15">
        <v>1.3310185167938471E-3</v>
      </c>
      <c r="M431" s="8">
        <f t="shared" si="39"/>
        <v>526</v>
      </c>
      <c r="N431" s="9" t="s">
        <v>63</v>
      </c>
      <c r="O431" s="9" t="s">
        <v>16</v>
      </c>
      <c r="P431" s="9">
        <v>1696</v>
      </c>
      <c r="Q431" s="9">
        <v>161</v>
      </c>
      <c r="R431" s="8" t="s">
        <v>17</v>
      </c>
      <c r="S431" s="11">
        <v>46</v>
      </c>
      <c r="T431" s="10">
        <v>0.27</v>
      </c>
    </row>
    <row r="432" spans="1:20" x14ac:dyDescent="0.3">
      <c r="A432" s="7">
        <f t="shared" si="40"/>
        <v>427</v>
      </c>
      <c r="B432" s="8">
        <v>3689</v>
      </c>
      <c r="C432" s="9" t="str">
        <f t="shared" si="43"/>
        <v>5270x85185fe3A4e36079818Ba1d12705A9B6898997040xa60AdD2af71a4f50b3F94509E71a1e9DbDeA5dDa1372165unidade480027</v>
      </c>
      <c r="D432" s="13"/>
      <c r="E432" s="8" t="s">
        <v>894</v>
      </c>
      <c r="F432" s="8">
        <f t="shared" si="42"/>
        <v>0</v>
      </c>
      <c r="G432" s="8">
        <f t="shared" si="42"/>
        <v>0</v>
      </c>
      <c r="H432" s="8">
        <f t="shared" si="42"/>
        <v>0</v>
      </c>
      <c r="I432" s="8">
        <f t="shared" si="42"/>
        <v>0</v>
      </c>
      <c r="J432" s="8">
        <f t="shared" si="41"/>
        <v>0</v>
      </c>
      <c r="K432" s="15">
        <v>4.7453703155042604E-4</v>
      </c>
      <c r="M432" s="8">
        <f t="shared" si="39"/>
        <v>527</v>
      </c>
      <c r="N432" s="9" t="s">
        <v>63</v>
      </c>
      <c r="O432" s="9" t="s">
        <v>16</v>
      </c>
      <c r="P432" s="9">
        <v>1372</v>
      </c>
      <c r="Q432" s="9">
        <v>165</v>
      </c>
      <c r="R432" s="8" t="s">
        <v>17</v>
      </c>
      <c r="S432" s="11">
        <v>48</v>
      </c>
      <c r="T432" s="10">
        <v>0.27</v>
      </c>
    </row>
    <row r="433" spans="1:20" x14ac:dyDescent="0.3">
      <c r="A433" s="7">
        <f t="shared" si="40"/>
        <v>428</v>
      </c>
      <c r="B433" s="8">
        <v>5637</v>
      </c>
      <c r="C433" s="9" t="str">
        <f t="shared" si="43"/>
        <v>5280x85185fe3A4e36079818Ba1d12705A9B6898997040xa60AdD2af71a4f50b3F94509E71a1e9DbDeA5dDa2000198unidade610027</v>
      </c>
      <c r="D433" s="13"/>
      <c r="E433" s="8" t="s">
        <v>895</v>
      </c>
      <c r="F433" s="8">
        <f t="shared" si="42"/>
        <v>0</v>
      </c>
      <c r="G433" s="8">
        <f t="shared" si="42"/>
        <v>0</v>
      </c>
      <c r="H433" s="8">
        <f t="shared" si="42"/>
        <v>0</v>
      </c>
      <c r="I433" s="8">
        <f t="shared" si="42"/>
        <v>1</v>
      </c>
      <c r="J433" s="8">
        <f t="shared" si="41"/>
        <v>0</v>
      </c>
      <c r="K433" s="15">
        <v>6.4814815414138138E-4</v>
      </c>
      <c r="M433" s="8">
        <f t="shared" si="39"/>
        <v>528</v>
      </c>
      <c r="N433" s="9" t="s">
        <v>63</v>
      </c>
      <c r="O433" s="9" t="s">
        <v>16</v>
      </c>
      <c r="P433" s="9">
        <v>2000</v>
      </c>
      <c r="Q433" s="9">
        <v>198</v>
      </c>
      <c r="R433" s="8" t="s">
        <v>17</v>
      </c>
      <c r="S433" s="11">
        <v>61</v>
      </c>
      <c r="T433" s="10">
        <v>0.27</v>
      </c>
    </row>
    <row r="434" spans="1:20" x14ac:dyDescent="0.3">
      <c r="A434" s="7">
        <f t="shared" si="40"/>
        <v>429</v>
      </c>
      <c r="B434" s="8">
        <v>1550</v>
      </c>
      <c r="C434" s="9" t="str">
        <f t="shared" si="43"/>
        <v>5290x85185fe3A4e36079818Ba1d12705A9B6898997040xa60AdD2af71a4f50b3F94509E71a1e9DbDeA5dDa1384124unidade790027</v>
      </c>
      <c r="D434" s="13"/>
      <c r="E434" s="8" t="s">
        <v>896</v>
      </c>
      <c r="F434" s="8">
        <f t="shared" si="42"/>
        <v>0</v>
      </c>
      <c r="G434" s="8">
        <f t="shared" si="42"/>
        <v>0</v>
      </c>
      <c r="H434" s="8">
        <f t="shared" si="42"/>
        <v>0</v>
      </c>
      <c r="I434" s="8">
        <f t="shared" si="42"/>
        <v>2</v>
      </c>
      <c r="J434" s="8">
        <f t="shared" si="41"/>
        <v>0</v>
      </c>
      <c r="K434" s="15">
        <v>1.273148154723458E-4</v>
      </c>
      <c r="M434" s="8">
        <f t="shared" si="39"/>
        <v>529</v>
      </c>
      <c r="N434" s="9" t="s">
        <v>63</v>
      </c>
      <c r="O434" s="9" t="s">
        <v>16</v>
      </c>
      <c r="P434" s="9">
        <v>1384</v>
      </c>
      <c r="Q434" s="9">
        <v>124</v>
      </c>
      <c r="R434" s="8" t="s">
        <v>17</v>
      </c>
      <c r="S434" s="11">
        <v>79</v>
      </c>
      <c r="T434" s="10">
        <v>0.27</v>
      </c>
    </row>
    <row r="435" spans="1:20" x14ac:dyDescent="0.3">
      <c r="A435" s="7">
        <f t="shared" si="40"/>
        <v>430</v>
      </c>
      <c r="B435" s="8">
        <v>1166</v>
      </c>
      <c r="C435" s="9" t="str">
        <f t="shared" si="43"/>
        <v>5300x85185fe3A4e36079818Ba1d12705A9B6898997040xa60AdD2af71a4f50b3F94509E71a1e9DbDeA5dDa763183unidade1110027</v>
      </c>
      <c r="D435" s="13"/>
      <c r="E435" s="8" t="s">
        <v>897</v>
      </c>
      <c r="F435" s="8">
        <f t="shared" si="42"/>
        <v>0</v>
      </c>
      <c r="G435" s="8">
        <f t="shared" si="42"/>
        <v>0</v>
      </c>
      <c r="H435" s="8">
        <f t="shared" si="42"/>
        <v>0</v>
      </c>
      <c r="I435" s="8">
        <f t="shared" si="42"/>
        <v>9</v>
      </c>
      <c r="J435" s="8">
        <f t="shared" si="41"/>
        <v>0</v>
      </c>
      <c r="K435" s="15">
        <v>9.2592592409346253E-5</v>
      </c>
      <c r="M435" s="8">
        <f t="shared" si="39"/>
        <v>530</v>
      </c>
      <c r="N435" s="9" t="s">
        <v>63</v>
      </c>
      <c r="O435" s="9" t="s">
        <v>16</v>
      </c>
      <c r="P435" s="9">
        <v>763</v>
      </c>
      <c r="Q435" s="9">
        <v>183</v>
      </c>
      <c r="R435" s="8" t="s">
        <v>17</v>
      </c>
      <c r="S435" s="11">
        <v>111</v>
      </c>
      <c r="T435" s="10">
        <v>0.27</v>
      </c>
    </row>
    <row r="436" spans="1:20" x14ac:dyDescent="0.3">
      <c r="A436" s="7">
        <f t="shared" si="40"/>
        <v>431</v>
      </c>
      <c r="B436" s="8">
        <v>582</v>
      </c>
      <c r="C436" s="9" t="str">
        <f t="shared" si="43"/>
        <v>5310x85185fe3A4e36079818Ba1d12705A9B6898997040xa60AdD2af71a4f50b3F94509E71a1e9DbDeA5dDa1200119unidade310027</v>
      </c>
      <c r="D436" s="13"/>
      <c r="E436" s="8" t="s">
        <v>898</v>
      </c>
      <c r="F436" s="8">
        <f t="shared" si="42"/>
        <v>0</v>
      </c>
      <c r="G436" s="8">
        <f t="shared" si="42"/>
        <v>0</v>
      </c>
      <c r="H436" s="8">
        <f t="shared" si="42"/>
        <v>0</v>
      </c>
      <c r="I436" s="8">
        <f t="shared" si="42"/>
        <v>1</v>
      </c>
      <c r="J436" s="8">
        <f t="shared" si="41"/>
        <v>0</v>
      </c>
      <c r="K436" s="15">
        <v>4.6296292566694319E-5</v>
      </c>
      <c r="M436" s="8">
        <f t="shared" si="39"/>
        <v>531</v>
      </c>
      <c r="N436" s="9" t="s">
        <v>63</v>
      </c>
      <c r="O436" s="9" t="s">
        <v>16</v>
      </c>
      <c r="P436" s="9">
        <v>1200</v>
      </c>
      <c r="Q436" s="9">
        <v>119</v>
      </c>
      <c r="R436" s="8" t="s">
        <v>17</v>
      </c>
      <c r="S436" s="11">
        <v>31</v>
      </c>
      <c r="T436" s="10">
        <v>0.27</v>
      </c>
    </row>
    <row r="437" spans="1:20" x14ac:dyDescent="0.3">
      <c r="A437" s="7">
        <f t="shared" si="40"/>
        <v>432</v>
      </c>
      <c r="B437" s="8">
        <v>7633</v>
      </c>
      <c r="C437" s="9" t="str">
        <f t="shared" si="43"/>
        <v>5320x85185fe3A4e36079818Ba1d12705A9B6898997040xa60AdD2af71a4f50b3F94509E71a1e9DbDeA5dDa1340122unidade1060027</v>
      </c>
      <c r="D437" s="13"/>
      <c r="E437" s="8" t="s">
        <v>899</v>
      </c>
      <c r="F437" s="8">
        <f t="shared" si="42"/>
        <v>0</v>
      </c>
      <c r="G437" s="8">
        <f t="shared" si="42"/>
        <v>0</v>
      </c>
      <c r="H437" s="8">
        <f t="shared" si="42"/>
        <v>0</v>
      </c>
      <c r="I437" s="8">
        <f t="shared" si="42"/>
        <v>1</v>
      </c>
      <c r="J437" s="8">
        <f t="shared" si="41"/>
        <v>0</v>
      </c>
      <c r="K437" s="15">
        <v>7.638888928340748E-4</v>
      </c>
      <c r="M437" s="8">
        <f t="shared" si="39"/>
        <v>532</v>
      </c>
      <c r="N437" s="9" t="s">
        <v>63</v>
      </c>
      <c r="O437" s="9" t="s">
        <v>16</v>
      </c>
      <c r="P437" s="9">
        <v>1340</v>
      </c>
      <c r="Q437" s="9">
        <v>122</v>
      </c>
      <c r="R437" s="8" t="s">
        <v>17</v>
      </c>
      <c r="S437" s="11">
        <v>106</v>
      </c>
      <c r="T437" s="10">
        <v>0.27</v>
      </c>
    </row>
    <row r="438" spans="1:20" x14ac:dyDescent="0.3">
      <c r="A438" s="7">
        <f t="shared" si="40"/>
        <v>433</v>
      </c>
      <c r="B438" s="8">
        <v>3228</v>
      </c>
      <c r="C438" s="9" t="str">
        <f t="shared" si="43"/>
        <v>5330x85185fe3A4e36079818Ba1d12705A9B6898997040xa60AdD2af71a4f50b3F94509E71a1e9DbDeA5dDa783145unidade900027</v>
      </c>
      <c r="D438" s="13"/>
      <c r="E438" s="8" t="s">
        <v>900</v>
      </c>
      <c r="F438" s="8">
        <f t="shared" si="42"/>
        <v>0</v>
      </c>
      <c r="G438" s="8">
        <f t="shared" si="42"/>
        <v>0</v>
      </c>
      <c r="H438" s="8">
        <f t="shared" si="42"/>
        <v>0</v>
      </c>
      <c r="I438" s="8">
        <f t="shared" si="42"/>
        <v>1</v>
      </c>
      <c r="J438" s="8">
        <f t="shared" si="41"/>
        <v>0</v>
      </c>
      <c r="K438" s="15">
        <v>3.125000002910383E-4</v>
      </c>
      <c r="M438" s="8">
        <f t="shared" si="39"/>
        <v>533</v>
      </c>
      <c r="N438" s="9" t="s">
        <v>63</v>
      </c>
      <c r="O438" s="9" t="s">
        <v>16</v>
      </c>
      <c r="P438" s="9">
        <v>783</v>
      </c>
      <c r="Q438" s="9">
        <v>145</v>
      </c>
      <c r="R438" s="8" t="s">
        <v>17</v>
      </c>
      <c r="S438" s="11">
        <v>90</v>
      </c>
      <c r="T438" s="10">
        <v>0.27</v>
      </c>
    </row>
    <row r="439" spans="1:20" x14ac:dyDescent="0.3">
      <c r="A439" s="7">
        <f t="shared" si="40"/>
        <v>434</v>
      </c>
      <c r="B439" s="8">
        <v>2964</v>
      </c>
      <c r="C439" s="9" t="str">
        <f t="shared" si="43"/>
        <v>5340x85185fe3A4e36079818Ba1d12705A9B6898997040xa60AdD2af71a4f50b3F94509E71a1e9DbDeA5dDa1766167unidade860027</v>
      </c>
      <c r="D439" s="13"/>
      <c r="E439" s="8" t="s">
        <v>901</v>
      </c>
      <c r="F439" s="8">
        <f t="shared" si="42"/>
        <v>0</v>
      </c>
      <c r="G439" s="8">
        <f t="shared" si="42"/>
        <v>0</v>
      </c>
      <c r="H439" s="8">
        <f t="shared" si="42"/>
        <v>0</v>
      </c>
      <c r="I439" s="8">
        <f t="shared" si="42"/>
        <v>8</v>
      </c>
      <c r="J439" s="8">
        <f t="shared" si="41"/>
        <v>0</v>
      </c>
      <c r="K439" s="15">
        <v>3.3564814657438546E-4</v>
      </c>
      <c r="M439" s="8">
        <f t="shared" si="39"/>
        <v>534</v>
      </c>
      <c r="N439" s="9" t="s">
        <v>63</v>
      </c>
      <c r="O439" s="9" t="s">
        <v>16</v>
      </c>
      <c r="P439" s="9">
        <v>1766</v>
      </c>
      <c r="Q439" s="9">
        <v>167</v>
      </c>
      <c r="R439" s="8" t="s">
        <v>17</v>
      </c>
      <c r="S439" s="11">
        <v>86</v>
      </c>
      <c r="T439" s="10">
        <v>0.27</v>
      </c>
    </row>
    <row r="440" spans="1:20" x14ac:dyDescent="0.3">
      <c r="A440" s="7">
        <f t="shared" si="40"/>
        <v>435</v>
      </c>
      <c r="B440" s="8">
        <v>8365</v>
      </c>
      <c r="C440" s="9" t="str">
        <f t="shared" si="43"/>
        <v>5350x85185fe3A4e36079818Ba1d12705A9B6898997040xa60AdD2af71a4f50b3F94509E71a1e9DbDeA5dDa1603103unidade630027</v>
      </c>
      <c r="D440" s="13"/>
      <c r="E440" s="8" t="s">
        <v>902</v>
      </c>
      <c r="F440" s="8">
        <f t="shared" si="42"/>
        <v>0</v>
      </c>
      <c r="G440" s="8">
        <f t="shared" si="42"/>
        <v>0</v>
      </c>
      <c r="H440" s="8">
        <f t="shared" si="42"/>
        <v>0</v>
      </c>
      <c r="I440" s="8">
        <f t="shared" si="42"/>
        <v>2</v>
      </c>
      <c r="J440" s="8">
        <f t="shared" si="41"/>
        <v>0</v>
      </c>
      <c r="K440" s="15">
        <v>8.2175925490446389E-4</v>
      </c>
      <c r="M440" s="8">
        <f t="shared" si="39"/>
        <v>535</v>
      </c>
      <c r="N440" s="9" t="s">
        <v>63</v>
      </c>
      <c r="O440" s="9" t="s">
        <v>16</v>
      </c>
      <c r="P440" s="9">
        <v>1603</v>
      </c>
      <c r="Q440" s="9">
        <v>103</v>
      </c>
      <c r="R440" s="8" t="s">
        <v>17</v>
      </c>
      <c r="S440" s="11">
        <v>63</v>
      </c>
      <c r="T440" s="10">
        <v>0.27</v>
      </c>
    </row>
    <row r="441" spans="1:20" x14ac:dyDescent="0.3">
      <c r="A441" s="7">
        <f t="shared" si="40"/>
        <v>436</v>
      </c>
      <c r="B441" s="8">
        <v>9392</v>
      </c>
      <c r="C441" s="9" t="str">
        <f t="shared" si="43"/>
        <v>5360x85185fe3A4e36079818Ba1d12705A9B6898997040xa60AdD2af71a4f50b3F94509E71a1e9DbDeA5dDa998137unidade930027</v>
      </c>
      <c r="D441" s="13"/>
      <c r="E441" s="8" t="s">
        <v>903</v>
      </c>
      <c r="F441" s="8">
        <f t="shared" si="42"/>
        <v>0</v>
      </c>
      <c r="G441" s="8">
        <f t="shared" si="42"/>
        <v>0</v>
      </c>
      <c r="H441" s="8">
        <f t="shared" si="42"/>
        <v>0</v>
      </c>
      <c r="I441" s="8">
        <f t="shared" si="42"/>
        <v>1</v>
      </c>
      <c r="J441" s="8">
        <f t="shared" si="41"/>
        <v>0</v>
      </c>
      <c r="K441" s="15">
        <v>7.7546296233776957E-4</v>
      </c>
      <c r="M441" s="8">
        <f t="shared" si="39"/>
        <v>536</v>
      </c>
      <c r="N441" s="9" t="s">
        <v>63</v>
      </c>
      <c r="O441" s="9" t="s">
        <v>16</v>
      </c>
      <c r="P441" s="9">
        <v>998</v>
      </c>
      <c r="Q441" s="9">
        <v>137</v>
      </c>
      <c r="R441" s="8" t="s">
        <v>17</v>
      </c>
      <c r="S441" s="11">
        <v>93</v>
      </c>
      <c r="T441" s="10">
        <v>0.27</v>
      </c>
    </row>
    <row r="442" spans="1:20" x14ac:dyDescent="0.3">
      <c r="A442" s="7">
        <f t="shared" si="40"/>
        <v>437</v>
      </c>
      <c r="B442" s="8">
        <v>11116</v>
      </c>
      <c r="C442" s="9" t="str">
        <f t="shared" si="43"/>
        <v>5370x85185fe3A4e36079818Ba1d12705A9B6898997040xa60AdD2af71a4f50b3F94509E71a1e9DbDeA5dDa622123unidade640027</v>
      </c>
      <c r="D442" s="13"/>
      <c r="E442" s="8" t="s">
        <v>904</v>
      </c>
      <c r="F442" s="8">
        <f t="shared" si="42"/>
        <v>0</v>
      </c>
      <c r="G442" s="8">
        <f t="shared" si="42"/>
        <v>0</v>
      </c>
      <c r="H442" s="8">
        <f t="shared" si="42"/>
        <v>0</v>
      </c>
      <c r="I442" s="8">
        <f t="shared" si="42"/>
        <v>2</v>
      </c>
      <c r="J442" s="8">
        <f t="shared" si="41"/>
        <v>0</v>
      </c>
      <c r="K442" s="15">
        <v>1.3310185240698047E-3</v>
      </c>
      <c r="M442" s="8">
        <f t="shared" si="39"/>
        <v>537</v>
      </c>
      <c r="N442" s="9" t="s">
        <v>63</v>
      </c>
      <c r="O442" s="9" t="s">
        <v>16</v>
      </c>
      <c r="P442" s="9">
        <v>622</v>
      </c>
      <c r="Q442" s="9">
        <v>123</v>
      </c>
      <c r="R442" s="8" t="s">
        <v>17</v>
      </c>
      <c r="S442" s="11">
        <v>64</v>
      </c>
      <c r="T442" s="10">
        <v>0.27</v>
      </c>
    </row>
    <row r="443" spans="1:20" x14ac:dyDescent="0.3">
      <c r="A443" s="7">
        <f t="shared" si="40"/>
        <v>438</v>
      </c>
      <c r="B443" s="8">
        <v>113</v>
      </c>
      <c r="C443" s="9" t="str">
        <f t="shared" si="43"/>
        <v>5380x85185fe3A4e36079818Ba1d12705A9B6898997040xa60AdD2af71a4f50b3F94509E71a1e9DbDeA5dDa534162unidade990027</v>
      </c>
      <c r="D443" s="13"/>
      <c r="E443" s="8" t="s">
        <v>905</v>
      </c>
      <c r="F443" s="8">
        <f t="shared" si="42"/>
        <v>0</v>
      </c>
      <c r="G443" s="8">
        <f t="shared" si="42"/>
        <v>0</v>
      </c>
      <c r="H443" s="8">
        <f t="shared" si="42"/>
        <v>0</v>
      </c>
      <c r="I443" s="8">
        <f t="shared" si="42"/>
        <v>9</v>
      </c>
      <c r="J443" s="8">
        <f t="shared" si="41"/>
        <v>0</v>
      </c>
      <c r="K443" s="15">
        <v>1.1574069503694773E-5</v>
      </c>
      <c r="M443" s="8">
        <f t="shared" si="39"/>
        <v>538</v>
      </c>
      <c r="N443" s="9" t="s">
        <v>63</v>
      </c>
      <c r="O443" s="9" t="s">
        <v>16</v>
      </c>
      <c r="P443" s="9">
        <v>534</v>
      </c>
      <c r="Q443" s="9">
        <v>162</v>
      </c>
      <c r="R443" s="8" t="s">
        <v>17</v>
      </c>
      <c r="S443" s="11">
        <v>99</v>
      </c>
      <c r="T443" s="10">
        <v>0.27</v>
      </c>
    </row>
    <row r="444" spans="1:20" x14ac:dyDescent="0.3">
      <c r="A444" s="7">
        <f t="shared" si="40"/>
        <v>439</v>
      </c>
      <c r="B444" s="8">
        <v>4620</v>
      </c>
      <c r="C444" s="9" t="str">
        <f t="shared" si="43"/>
        <v>5390x85185fe3A4e36079818Ba1d12705A9B6898997040xa60AdD2af71a4f50b3F94509E71a1e9DbDeA5dDa691194unidade380027</v>
      </c>
      <c r="D444" s="13"/>
      <c r="E444" s="8" t="s">
        <v>906</v>
      </c>
      <c r="F444" s="8">
        <f t="shared" si="42"/>
        <v>0</v>
      </c>
      <c r="G444" s="8">
        <f t="shared" si="42"/>
        <v>0</v>
      </c>
      <c r="H444" s="8">
        <f t="shared" si="42"/>
        <v>0</v>
      </c>
      <c r="I444" s="8">
        <f t="shared" si="42"/>
        <v>3</v>
      </c>
      <c r="J444" s="8">
        <f t="shared" si="41"/>
        <v>0</v>
      </c>
      <c r="K444" s="15">
        <v>3.7037036963738501E-4</v>
      </c>
      <c r="M444" s="8">
        <f t="shared" si="39"/>
        <v>539</v>
      </c>
      <c r="N444" s="9" t="s">
        <v>63</v>
      </c>
      <c r="O444" s="9" t="s">
        <v>16</v>
      </c>
      <c r="P444" s="9">
        <v>691</v>
      </c>
      <c r="Q444" s="9">
        <v>194</v>
      </c>
      <c r="R444" s="8" t="s">
        <v>17</v>
      </c>
      <c r="S444" s="11">
        <v>38</v>
      </c>
      <c r="T444" s="10">
        <v>0.27</v>
      </c>
    </row>
    <row r="445" spans="1:20" x14ac:dyDescent="0.3">
      <c r="A445" s="7">
        <f t="shared" si="40"/>
        <v>440</v>
      </c>
      <c r="B445" s="8">
        <v>292</v>
      </c>
      <c r="C445" s="9" t="str">
        <f t="shared" si="43"/>
        <v>5400x85185fe3A4e36079818Ba1d12705A9B6898997040xa60AdD2af71a4f50b3F94509E71a1e9DbDeA5dDa1222134unidade940027</v>
      </c>
      <c r="D445" s="13"/>
      <c r="E445" s="8" t="s">
        <v>907</v>
      </c>
      <c r="F445" s="8">
        <f t="shared" si="42"/>
        <v>0</v>
      </c>
      <c r="G445" s="8">
        <f t="shared" si="42"/>
        <v>0</v>
      </c>
      <c r="H445" s="8">
        <f t="shared" si="42"/>
        <v>0</v>
      </c>
      <c r="I445" s="8">
        <f t="shared" si="42"/>
        <v>1</v>
      </c>
      <c r="J445" s="8">
        <f t="shared" si="41"/>
        <v>0</v>
      </c>
      <c r="K445" s="15">
        <v>2.3148153559304774E-5</v>
      </c>
      <c r="M445" s="8">
        <f t="shared" si="39"/>
        <v>540</v>
      </c>
      <c r="N445" s="9" t="s">
        <v>63</v>
      </c>
      <c r="O445" s="9" t="s">
        <v>16</v>
      </c>
      <c r="P445" s="9">
        <v>1222</v>
      </c>
      <c r="Q445" s="9">
        <v>134</v>
      </c>
      <c r="R445" s="8" t="s">
        <v>17</v>
      </c>
      <c r="S445" s="11">
        <v>94</v>
      </c>
      <c r="T445" s="10">
        <v>0.27</v>
      </c>
    </row>
    <row r="446" spans="1:20" x14ac:dyDescent="0.3">
      <c r="A446" s="7">
        <f t="shared" si="40"/>
        <v>441</v>
      </c>
      <c r="B446" s="8">
        <v>2462</v>
      </c>
      <c r="C446" s="9" t="str">
        <f t="shared" si="43"/>
        <v>5410x85185fe3A4e36079818Ba1d12705A9B6898997040xa60AdD2af71a4f50b3F94509E71a1e9DbDeA5dDa1186155unidade820027</v>
      </c>
      <c r="D446" s="13"/>
      <c r="E446" s="8" t="s">
        <v>908</v>
      </c>
      <c r="F446" s="8">
        <f t="shared" si="42"/>
        <v>0</v>
      </c>
      <c r="G446" s="8">
        <f t="shared" si="42"/>
        <v>0</v>
      </c>
      <c r="H446" s="8">
        <f t="shared" si="42"/>
        <v>0</v>
      </c>
      <c r="I446" s="8">
        <f t="shared" si="42"/>
        <v>8</v>
      </c>
      <c r="J446" s="8">
        <f t="shared" si="41"/>
        <v>0</v>
      </c>
      <c r="K446" s="15">
        <v>2.8935184673173353E-4</v>
      </c>
      <c r="M446" s="8">
        <f t="shared" si="39"/>
        <v>541</v>
      </c>
      <c r="N446" s="9" t="s">
        <v>63</v>
      </c>
      <c r="O446" s="9" t="s">
        <v>16</v>
      </c>
      <c r="P446" s="9">
        <v>1186</v>
      </c>
      <c r="Q446" s="9">
        <v>155</v>
      </c>
      <c r="R446" s="8" t="s">
        <v>17</v>
      </c>
      <c r="S446" s="11">
        <v>82</v>
      </c>
      <c r="T446" s="10">
        <v>0.27</v>
      </c>
    </row>
    <row r="447" spans="1:20" x14ac:dyDescent="0.3">
      <c r="A447" s="7">
        <f t="shared" si="40"/>
        <v>442</v>
      </c>
      <c r="B447" s="8">
        <v>2196</v>
      </c>
      <c r="C447" s="9" t="str">
        <f t="shared" si="43"/>
        <v>5420x85185fe3A4e36079818Ba1d12705A9B6898997040xa60AdD2af71a4f50b3F94509E71a1e9DbDeA5dDa728127unidade490027</v>
      </c>
      <c r="D447" s="13"/>
      <c r="E447" s="8" t="s">
        <v>909</v>
      </c>
      <c r="F447" s="8">
        <f t="shared" si="42"/>
        <v>0</v>
      </c>
      <c r="G447" s="8">
        <f t="shared" si="42"/>
        <v>0</v>
      </c>
      <c r="H447" s="8">
        <f t="shared" si="42"/>
        <v>0</v>
      </c>
      <c r="I447" s="8">
        <f t="shared" si="42"/>
        <v>2</v>
      </c>
      <c r="J447" s="8">
        <f t="shared" si="41"/>
        <v>0</v>
      </c>
      <c r="K447" s="15">
        <v>2.4305556144099683E-4</v>
      </c>
      <c r="M447" s="8">
        <f t="shared" si="39"/>
        <v>542</v>
      </c>
      <c r="N447" s="9" t="s">
        <v>63</v>
      </c>
      <c r="O447" s="9" t="s">
        <v>16</v>
      </c>
      <c r="P447" s="9">
        <v>728</v>
      </c>
      <c r="Q447" s="9">
        <v>127</v>
      </c>
      <c r="R447" s="8" t="s">
        <v>17</v>
      </c>
      <c r="S447" s="11">
        <v>49</v>
      </c>
      <c r="T447" s="10">
        <v>0.27</v>
      </c>
    </row>
    <row r="448" spans="1:20" x14ac:dyDescent="0.3">
      <c r="A448" s="7">
        <f t="shared" si="40"/>
        <v>443</v>
      </c>
      <c r="B448" s="8">
        <v>3608</v>
      </c>
      <c r="C448" s="9" t="str">
        <f t="shared" si="43"/>
        <v>5430x85185fe3A4e36079818Ba1d12705A9B6898997040xa60AdD2af71a4f50b3F94509E71a1e9DbDeA5dDa891155unidade820027</v>
      </c>
      <c r="D448" s="13"/>
      <c r="E448" s="8" t="s">
        <v>910</v>
      </c>
      <c r="F448" s="8">
        <f t="shared" si="42"/>
        <v>0</v>
      </c>
      <c r="G448" s="8">
        <f t="shared" si="42"/>
        <v>0</v>
      </c>
      <c r="H448" s="8">
        <f t="shared" si="42"/>
        <v>0</v>
      </c>
      <c r="I448" s="8">
        <f t="shared" si="42"/>
        <v>1</v>
      </c>
      <c r="J448" s="8">
        <f t="shared" si="41"/>
        <v>0</v>
      </c>
      <c r="K448" s="15">
        <v>2.8935184673173353E-4</v>
      </c>
      <c r="M448" s="8">
        <f t="shared" si="39"/>
        <v>543</v>
      </c>
      <c r="N448" s="9" t="s">
        <v>63</v>
      </c>
      <c r="O448" s="9" t="s">
        <v>16</v>
      </c>
      <c r="P448" s="9">
        <v>891</v>
      </c>
      <c r="Q448" s="9">
        <v>155</v>
      </c>
      <c r="R448" s="8" t="s">
        <v>17</v>
      </c>
      <c r="S448" s="11">
        <v>82</v>
      </c>
      <c r="T448" s="10">
        <v>0.27</v>
      </c>
    </row>
    <row r="449" spans="1:20" x14ac:dyDescent="0.3">
      <c r="A449" s="7">
        <f t="shared" si="40"/>
        <v>444</v>
      </c>
      <c r="B449" s="8">
        <v>582</v>
      </c>
      <c r="C449" s="9" t="str">
        <f t="shared" si="43"/>
        <v>5440x85185fe3A4e36079818Ba1d12705A9B6898997040xa60AdD2af71a4f50b3F94509E71a1e9DbDeA5dDa1887123unidade610027</v>
      </c>
      <c r="D449" s="13"/>
      <c r="E449" s="8" t="s">
        <v>911</v>
      </c>
      <c r="F449" s="8">
        <f t="shared" si="42"/>
        <v>0</v>
      </c>
      <c r="G449" s="8">
        <f t="shared" si="42"/>
        <v>0</v>
      </c>
      <c r="H449" s="8">
        <f t="shared" si="42"/>
        <v>0</v>
      </c>
      <c r="I449" s="8">
        <f t="shared" si="42"/>
        <v>1</v>
      </c>
      <c r="J449" s="8">
        <f t="shared" si="41"/>
        <v>0</v>
      </c>
      <c r="K449" s="15">
        <v>8.101852290565148E-5</v>
      </c>
      <c r="M449" s="8">
        <f t="shared" si="39"/>
        <v>544</v>
      </c>
      <c r="N449" s="9" t="s">
        <v>63</v>
      </c>
      <c r="O449" s="9" t="s">
        <v>16</v>
      </c>
      <c r="P449" s="9">
        <v>1887</v>
      </c>
      <c r="Q449" s="9">
        <v>123</v>
      </c>
      <c r="R449" s="8" t="s">
        <v>17</v>
      </c>
      <c r="S449" s="11">
        <v>61</v>
      </c>
      <c r="T449" s="10">
        <v>0.27</v>
      </c>
    </row>
    <row r="450" spans="1:20" x14ac:dyDescent="0.3">
      <c r="A450" s="7">
        <f t="shared" si="40"/>
        <v>445</v>
      </c>
      <c r="B450" s="8">
        <v>2381</v>
      </c>
      <c r="C450" s="9" t="str">
        <f t="shared" si="43"/>
        <v>5450x85185fe3A4e36079818Ba1d12705A9B6898997040xa60AdD2af71a4f50b3F94509E71a1e9DbDeA5dDa1873200unidade520027</v>
      </c>
      <c r="D450" s="13"/>
      <c r="E450" s="8" t="s">
        <v>912</v>
      </c>
      <c r="F450" s="8">
        <f t="shared" si="42"/>
        <v>0</v>
      </c>
      <c r="G450" s="8">
        <f t="shared" si="42"/>
        <v>0</v>
      </c>
      <c r="H450" s="8">
        <f t="shared" si="42"/>
        <v>0</v>
      </c>
      <c r="I450" s="8">
        <f t="shared" si="42"/>
        <v>1</v>
      </c>
      <c r="J450" s="8">
        <f t="shared" si="41"/>
        <v>0</v>
      </c>
      <c r="K450" s="15">
        <v>2.1990740788169205E-4</v>
      </c>
      <c r="M450" s="8">
        <f t="shared" si="39"/>
        <v>545</v>
      </c>
      <c r="N450" s="9" t="s">
        <v>63</v>
      </c>
      <c r="O450" s="9" t="s">
        <v>16</v>
      </c>
      <c r="P450" s="9">
        <v>1873</v>
      </c>
      <c r="Q450" s="9">
        <v>200</v>
      </c>
      <c r="R450" s="8" t="s">
        <v>17</v>
      </c>
      <c r="S450" s="11">
        <v>52</v>
      </c>
      <c r="T450" s="10">
        <v>0.27</v>
      </c>
    </row>
    <row r="451" spans="1:20" x14ac:dyDescent="0.3">
      <c r="A451" s="7">
        <f t="shared" si="40"/>
        <v>446</v>
      </c>
      <c r="B451" s="8">
        <v>283</v>
      </c>
      <c r="C451" s="9" t="str">
        <f t="shared" si="43"/>
        <v>5460x85185fe3A4e36079818Ba1d12705A9B6898997040xa60AdD2af71a4f50b3F94509E71a1e9DbDeA5dDa826115unidade120027</v>
      </c>
      <c r="D451" s="13"/>
      <c r="E451" s="8" t="s">
        <v>913</v>
      </c>
      <c r="F451" s="8">
        <f t="shared" si="42"/>
        <v>0</v>
      </c>
      <c r="G451" s="8">
        <f t="shared" si="42"/>
        <v>0</v>
      </c>
      <c r="H451" s="8">
        <f t="shared" si="42"/>
        <v>0</v>
      </c>
      <c r="I451" s="8">
        <f t="shared" si="42"/>
        <v>5</v>
      </c>
      <c r="J451" s="8">
        <f t="shared" si="41"/>
        <v>0</v>
      </c>
      <c r="K451" s="15">
        <v>2.314814628334716E-5</v>
      </c>
      <c r="M451" s="8">
        <f t="shared" si="39"/>
        <v>546</v>
      </c>
      <c r="N451" s="9" t="s">
        <v>63</v>
      </c>
      <c r="O451" s="9" t="s">
        <v>16</v>
      </c>
      <c r="P451" s="9">
        <v>826</v>
      </c>
      <c r="Q451" s="9">
        <v>115</v>
      </c>
      <c r="R451" s="8" t="s">
        <v>17</v>
      </c>
      <c r="S451" s="11">
        <v>12</v>
      </c>
      <c r="T451" s="10">
        <v>0.27</v>
      </c>
    </row>
    <row r="452" spans="1:20" x14ac:dyDescent="0.3">
      <c r="A452" s="7">
        <f t="shared" si="40"/>
        <v>447</v>
      </c>
      <c r="B452" s="8">
        <v>3269</v>
      </c>
      <c r="C452" s="9" t="str">
        <f t="shared" si="43"/>
        <v>5470x85185fe3A4e36079818Ba1d12705A9B6898997040xa60AdD2af71a4f50b3F94509E71a1e9DbDeA5dDa994166unidade820027</v>
      </c>
      <c r="D452" s="13"/>
      <c r="E452" s="8" t="s">
        <v>914</v>
      </c>
      <c r="F452" s="8">
        <f t="shared" si="42"/>
        <v>0</v>
      </c>
      <c r="G452" s="8">
        <f t="shared" si="42"/>
        <v>0</v>
      </c>
      <c r="H452" s="8">
        <f t="shared" si="42"/>
        <v>0</v>
      </c>
      <c r="I452" s="8">
        <f t="shared" si="42"/>
        <v>1</v>
      </c>
      <c r="J452" s="8">
        <f t="shared" si="41"/>
        <v>0</v>
      </c>
      <c r="K452" s="15">
        <v>3.125000002910383E-4</v>
      </c>
      <c r="M452" s="8">
        <f t="shared" si="39"/>
        <v>547</v>
      </c>
      <c r="N452" s="9" t="s">
        <v>63</v>
      </c>
      <c r="O452" s="9" t="s">
        <v>16</v>
      </c>
      <c r="P452" s="9">
        <v>994</v>
      </c>
      <c r="Q452" s="9">
        <v>166</v>
      </c>
      <c r="R452" s="8" t="s">
        <v>17</v>
      </c>
      <c r="S452" s="11">
        <v>82</v>
      </c>
      <c r="T452" s="10">
        <v>0.27</v>
      </c>
    </row>
    <row r="453" spans="1:20" x14ac:dyDescent="0.3">
      <c r="A453" s="7">
        <f t="shared" si="40"/>
        <v>448</v>
      </c>
      <c r="B453" s="8">
        <v>727</v>
      </c>
      <c r="C453" s="9" t="str">
        <f t="shared" si="43"/>
        <v>5480x85185fe3A4e36079818Ba1d12705A9B6898997040xa60AdD2af71a4f50b3F94509E71a1e9DbDeA5dDa872119unidade170027</v>
      </c>
      <c r="D453" s="13"/>
      <c r="E453" s="8" t="s">
        <v>915</v>
      </c>
      <c r="F453" s="8">
        <f t="shared" si="42"/>
        <v>0</v>
      </c>
      <c r="G453" s="8">
        <f t="shared" si="42"/>
        <v>0</v>
      </c>
      <c r="H453" s="8">
        <f t="shared" si="42"/>
        <v>0</v>
      </c>
      <c r="I453" s="8">
        <f t="shared" si="42"/>
        <v>1</v>
      </c>
      <c r="J453" s="8">
        <f t="shared" si="41"/>
        <v>0</v>
      </c>
      <c r="K453" s="15">
        <v>1.0416666918899864E-4</v>
      </c>
      <c r="M453" s="8">
        <f t="shared" si="39"/>
        <v>548</v>
      </c>
      <c r="N453" s="9" t="s">
        <v>63</v>
      </c>
      <c r="O453" s="9" t="s">
        <v>16</v>
      </c>
      <c r="P453" s="9">
        <v>872</v>
      </c>
      <c r="Q453" s="9">
        <v>119</v>
      </c>
      <c r="R453" s="8" t="s">
        <v>17</v>
      </c>
      <c r="S453" s="11">
        <v>17</v>
      </c>
      <c r="T453" s="10">
        <v>0.27</v>
      </c>
    </row>
    <row r="454" spans="1:20" x14ac:dyDescent="0.3">
      <c r="A454" s="7">
        <f t="shared" si="40"/>
        <v>449</v>
      </c>
      <c r="B454" s="8">
        <v>2801</v>
      </c>
      <c r="C454" s="9" t="str">
        <f t="shared" si="43"/>
        <v>5490x85185fe3A4e36079818Ba1d12705A9B6898997040xa60AdD2af71a4f50b3F94509E71a1e9DbDeA5dDa1309108unidade1180027</v>
      </c>
      <c r="D454" s="13"/>
      <c r="E454" s="8" t="s">
        <v>916</v>
      </c>
      <c r="F454" s="8">
        <f t="shared" si="42"/>
        <v>0</v>
      </c>
      <c r="G454" s="8">
        <f t="shared" si="42"/>
        <v>0</v>
      </c>
      <c r="H454" s="8">
        <f t="shared" si="42"/>
        <v>0</v>
      </c>
      <c r="I454" s="8">
        <f t="shared" si="42"/>
        <v>1</v>
      </c>
      <c r="J454" s="8">
        <f t="shared" si="41"/>
        <v>0</v>
      </c>
      <c r="K454" s="15">
        <v>3.4722222335403785E-4</v>
      </c>
      <c r="M454" s="8">
        <f t="shared" ref="M454:M505" si="44">1+M453</f>
        <v>549</v>
      </c>
      <c r="N454" s="9" t="s">
        <v>63</v>
      </c>
      <c r="O454" s="9" t="s">
        <v>16</v>
      </c>
      <c r="P454" s="9">
        <v>1309</v>
      </c>
      <c r="Q454" s="9">
        <v>108</v>
      </c>
      <c r="R454" s="8" t="s">
        <v>17</v>
      </c>
      <c r="S454" s="11">
        <v>118</v>
      </c>
      <c r="T454" s="10">
        <v>0.27</v>
      </c>
    </row>
    <row r="455" spans="1:20" x14ac:dyDescent="0.3">
      <c r="A455" s="7">
        <f t="shared" ref="A455:A505" si="45">1+A454</f>
        <v>450</v>
      </c>
      <c r="B455" s="8">
        <v>3452</v>
      </c>
      <c r="C455" s="9" t="str">
        <f t="shared" si="43"/>
        <v>5500x85185fe3A4e36079818Ba1d12705A9B6898997040xa60AdD2af71a4f50b3F94509E71a1e9DbDeA5dDa1085196unidade590027</v>
      </c>
      <c r="D455" s="13"/>
      <c r="E455" s="8" t="s">
        <v>917</v>
      </c>
      <c r="F455" s="8">
        <f t="shared" si="42"/>
        <v>0</v>
      </c>
      <c r="G455" s="8">
        <f t="shared" si="42"/>
        <v>0</v>
      </c>
      <c r="H455" s="8">
        <f t="shared" si="42"/>
        <v>0</v>
      </c>
      <c r="I455" s="8">
        <f t="shared" si="42"/>
        <v>4</v>
      </c>
      <c r="J455" s="8">
        <f t="shared" si="41"/>
        <v>0</v>
      </c>
      <c r="K455" s="15">
        <v>3.819444464170374E-4</v>
      </c>
      <c r="M455" s="8">
        <f t="shared" si="44"/>
        <v>550</v>
      </c>
      <c r="N455" s="9" t="s">
        <v>63</v>
      </c>
      <c r="O455" s="9" t="s">
        <v>16</v>
      </c>
      <c r="P455" s="9">
        <v>1085</v>
      </c>
      <c r="Q455" s="9">
        <v>196</v>
      </c>
      <c r="R455" s="8" t="s">
        <v>17</v>
      </c>
      <c r="S455" s="11">
        <v>59</v>
      </c>
      <c r="T455" s="10">
        <v>0.27</v>
      </c>
    </row>
    <row r="456" spans="1:20" x14ac:dyDescent="0.3">
      <c r="A456" s="7">
        <f t="shared" si="45"/>
        <v>451</v>
      </c>
      <c r="B456" s="8">
        <v>986</v>
      </c>
      <c r="C456" s="9" t="str">
        <f t="shared" si="43"/>
        <v>5510x85185fe3A4e36079818Ba1d12705A9B6898997040xa60AdD2af71a4f50b3F94509E71a1e9DbDeA5dDa293197unidade630027</v>
      </c>
      <c r="D456" s="13"/>
      <c r="E456" s="8" t="s">
        <v>918</v>
      </c>
      <c r="F456" s="8">
        <f t="shared" si="42"/>
        <v>0</v>
      </c>
      <c r="G456" s="8">
        <f t="shared" si="42"/>
        <v>0</v>
      </c>
      <c r="H456" s="8">
        <f t="shared" si="42"/>
        <v>0</v>
      </c>
      <c r="I456" s="8">
        <f t="shared" si="42"/>
        <v>4</v>
      </c>
      <c r="J456" s="8">
        <f t="shared" si="41"/>
        <v>0</v>
      </c>
      <c r="K456" s="15">
        <v>1.273148154723458E-4</v>
      </c>
      <c r="M456" s="8">
        <f t="shared" si="44"/>
        <v>551</v>
      </c>
      <c r="N456" s="9" t="s">
        <v>63</v>
      </c>
      <c r="O456" s="9" t="s">
        <v>16</v>
      </c>
      <c r="P456" s="9">
        <v>293</v>
      </c>
      <c r="Q456" s="9">
        <v>197</v>
      </c>
      <c r="R456" s="8" t="s">
        <v>17</v>
      </c>
      <c r="S456" s="11">
        <v>63</v>
      </c>
      <c r="T456" s="10">
        <v>0.27</v>
      </c>
    </row>
    <row r="457" spans="1:20" x14ac:dyDescent="0.3">
      <c r="A457" s="7">
        <f t="shared" si="45"/>
        <v>452</v>
      </c>
      <c r="B457" s="8">
        <v>3935</v>
      </c>
      <c r="C457" s="9" t="str">
        <f t="shared" si="43"/>
        <v>5520x85185fe3A4e36079818Ba1d12705A9B6898997040xa60AdD2af71a4f50b3F94509E71a1e9DbDeA5dDa1628150unidade650027</v>
      </c>
      <c r="D457" s="13"/>
      <c r="E457" s="8" t="s">
        <v>919</v>
      </c>
      <c r="F457" s="8">
        <f t="shared" si="42"/>
        <v>0</v>
      </c>
      <c r="G457" s="8">
        <f t="shared" si="42"/>
        <v>0</v>
      </c>
      <c r="H457" s="8">
        <f t="shared" si="42"/>
        <v>0</v>
      </c>
      <c r="I457" s="8">
        <f t="shared" si="42"/>
        <v>3</v>
      </c>
      <c r="J457" s="8">
        <f t="shared" si="41"/>
        <v>0</v>
      </c>
      <c r="K457" s="15">
        <v>4.7453703155042604E-4</v>
      </c>
      <c r="M457" s="8">
        <f t="shared" si="44"/>
        <v>552</v>
      </c>
      <c r="N457" s="9" t="s">
        <v>63</v>
      </c>
      <c r="O457" s="9" t="s">
        <v>16</v>
      </c>
      <c r="P457" s="9">
        <v>1628</v>
      </c>
      <c r="Q457" s="9">
        <v>150</v>
      </c>
      <c r="R457" s="8" t="s">
        <v>17</v>
      </c>
      <c r="S457" s="11">
        <v>65</v>
      </c>
      <c r="T457" s="10">
        <v>0.27</v>
      </c>
    </row>
    <row r="458" spans="1:20" x14ac:dyDescent="0.3">
      <c r="A458" s="7">
        <f t="shared" si="45"/>
        <v>453</v>
      </c>
      <c r="B458" s="8">
        <v>2499</v>
      </c>
      <c r="C458" s="9" t="str">
        <f t="shared" si="43"/>
        <v>5530x85185fe3A4e36079818Ba1d12705A9B6898997040xa60AdD2af71a4f50b3F94509E71a1e9DbDeA5dDa1007101unidade290027</v>
      </c>
      <c r="D458" s="13"/>
      <c r="E458" s="8" t="s">
        <v>920</v>
      </c>
      <c r="F458" s="8">
        <f t="shared" si="42"/>
        <v>0</v>
      </c>
      <c r="G458" s="8">
        <f t="shared" si="42"/>
        <v>0</v>
      </c>
      <c r="H458" s="8">
        <f t="shared" si="42"/>
        <v>0</v>
      </c>
      <c r="I458" s="8">
        <f t="shared" si="42"/>
        <v>1</v>
      </c>
      <c r="J458" s="8">
        <f t="shared" si="41"/>
        <v>0</v>
      </c>
      <c r="K458" s="15">
        <v>2.6620370772434399E-4</v>
      </c>
      <c r="M458" s="8">
        <f t="shared" si="44"/>
        <v>553</v>
      </c>
      <c r="N458" s="9" t="s">
        <v>63</v>
      </c>
      <c r="O458" s="9" t="s">
        <v>16</v>
      </c>
      <c r="P458" s="9">
        <v>1007</v>
      </c>
      <c r="Q458" s="9">
        <v>101</v>
      </c>
      <c r="R458" s="8" t="s">
        <v>17</v>
      </c>
      <c r="S458" s="11">
        <v>29</v>
      </c>
      <c r="T458" s="10">
        <v>0.27</v>
      </c>
    </row>
    <row r="459" spans="1:20" x14ac:dyDescent="0.3">
      <c r="A459" s="7">
        <f t="shared" si="45"/>
        <v>454</v>
      </c>
      <c r="B459" s="8">
        <v>13925</v>
      </c>
      <c r="C459" s="9" t="str">
        <f t="shared" si="43"/>
        <v>5540x85185fe3A4e36079818Ba1d12705A9B6898997040xa60AdD2af71a4f50b3F94509E71a1e9DbDeA5dDa1966185unidade610027</v>
      </c>
      <c r="D459" s="13"/>
      <c r="E459" s="8" t="s">
        <v>921</v>
      </c>
      <c r="F459" s="8">
        <f t="shared" si="42"/>
        <v>0</v>
      </c>
      <c r="G459" s="8">
        <f t="shared" si="42"/>
        <v>0</v>
      </c>
      <c r="H459" s="8">
        <f t="shared" si="42"/>
        <v>0</v>
      </c>
      <c r="I459" s="8">
        <f t="shared" si="42"/>
        <v>1</v>
      </c>
      <c r="J459" s="8">
        <f t="shared" si="41"/>
        <v>0</v>
      </c>
      <c r="K459" s="15">
        <v>1.2962962937308475E-3</v>
      </c>
      <c r="M459" s="8">
        <f t="shared" si="44"/>
        <v>554</v>
      </c>
      <c r="N459" s="9" t="s">
        <v>63</v>
      </c>
      <c r="O459" s="9" t="s">
        <v>16</v>
      </c>
      <c r="P459" s="9">
        <v>1966</v>
      </c>
      <c r="Q459" s="9">
        <v>185</v>
      </c>
      <c r="R459" s="8" t="s">
        <v>17</v>
      </c>
      <c r="S459" s="11">
        <v>61</v>
      </c>
      <c r="T459" s="10">
        <v>0.27</v>
      </c>
    </row>
    <row r="460" spans="1:20" x14ac:dyDescent="0.3">
      <c r="A460" s="7">
        <f t="shared" si="45"/>
        <v>455</v>
      </c>
      <c r="B460" s="8">
        <v>2725</v>
      </c>
      <c r="C460" s="9" t="str">
        <f t="shared" si="43"/>
        <v>5550x85185fe3A4e36079818Ba1d12705A9B6898997040xa60AdD2af71a4f50b3F94509E71a1e9DbDeA5dDa1406195unidade390027</v>
      </c>
      <c r="D460" s="13"/>
      <c r="E460" s="8" t="s">
        <v>922</v>
      </c>
      <c r="F460" s="8">
        <f t="shared" si="42"/>
        <v>0</v>
      </c>
      <c r="G460" s="8">
        <f t="shared" si="42"/>
        <v>0</v>
      </c>
      <c r="H460" s="8">
        <f t="shared" si="42"/>
        <v>0</v>
      </c>
      <c r="I460" s="8">
        <f t="shared" si="42"/>
        <v>4</v>
      </c>
      <c r="J460" s="8">
        <f t="shared" si="41"/>
        <v>0</v>
      </c>
      <c r="K460" s="15">
        <v>4.0509259270038456E-4</v>
      </c>
      <c r="M460" s="8">
        <f t="shared" si="44"/>
        <v>555</v>
      </c>
      <c r="N460" s="9" t="s">
        <v>63</v>
      </c>
      <c r="O460" s="9" t="s">
        <v>16</v>
      </c>
      <c r="P460" s="9">
        <v>1406</v>
      </c>
      <c r="Q460" s="9">
        <v>195</v>
      </c>
      <c r="R460" s="8" t="s">
        <v>17</v>
      </c>
      <c r="S460" s="11">
        <v>39</v>
      </c>
      <c r="T460" s="10">
        <v>0.27</v>
      </c>
    </row>
    <row r="461" spans="1:20" x14ac:dyDescent="0.3">
      <c r="A461" s="7">
        <f t="shared" si="45"/>
        <v>456</v>
      </c>
      <c r="B461" s="8">
        <v>4546</v>
      </c>
      <c r="C461" s="9" t="str">
        <f t="shared" si="43"/>
        <v>5560x85185fe3A4e36079818Ba1d12705A9B6898997040xa60AdD2af71a4f50b3F94509E71a1e9DbDeA5dDa1448145unidade190027</v>
      </c>
      <c r="D461" s="13"/>
      <c r="E461" s="8" t="s">
        <v>923</v>
      </c>
      <c r="F461" s="8">
        <f t="shared" si="42"/>
        <v>0</v>
      </c>
      <c r="G461" s="8">
        <f t="shared" si="42"/>
        <v>0</v>
      </c>
      <c r="H461" s="8">
        <f t="shared" si="42"/>
        <v>0</v>
      </c>
      <c r="I461" s="8">
        <f t="shared" si="42"/>
        <v>1</v>
      </c>
      <c r="J461" s="8">
        <f t="shared" si="41"/>
        <v>0</v>
      </c>
      <c r="K461" s="15">
        <v>7.9861110862111673E-4</v>
      </c>
      <c r="M461" s="8">
        <f t="shared" si="44"/>
        <v>556</v>
      </c>
      <c r="N461" s="9" t="s">
        <v>63</v>
      </c>
      <c r="O461" s="9" t="s">
        <v>16</v>
      </c>
      <c r="P461" s="9">
        <v>1448</v>
      </c>
      <c r="Q461" s="9">
        <v>145</v>
      </c>
      <c r="R461" s="8" t="s">
        <v>17</v>
      </c>
      <c r="S461" s="11">
        <v>19</v>
      </c>
      <c r="T461" s="10">
        <v>0.27</v>
      </c>
    </row>
    <row r="462" spans="1:20" x14ac:dyDescent="0.3">
      <c r="A462" s="7">
        <f t="shared" si="45"/>
        <v>457</v>
      </c>
      <c r="B462" s="8">
        <v>1482</v>
      </c>
      <c r="C462" s="9" t="str">
        <f t="shared" si="43"/>
        <v>5570x85185fe3A4e36079818Ba1d12705A9B6898997040xa60AdD2af71a4f50b3F94509E71a1e9DbDeA5dDa280171unidade1000027</v>
      </c>
      <c r="D462" s="13"/>
      <c r="E462" s="8" t="s">
        <v>924</v>
      </c>
      <c r="F462" s="8">
        <f t="shared" si="42"/>
        <v>0</v>
      </c>
      <c r="G462" s="8">
        <f t="shared" si="42"/>
        <v>0</v>
      </c>
      <c r="H462" s="8">
        <f t="shared" si="42"/>
        <v>0</v>
      </c>
      <c r="I462" s="8">
        <f t="shared" si="42"/>
        <v>1</v>
      </c>
      <c r="J462" s="8">
        <f t="shared" si="41"/>
        <v>0</v>
      </c>
      <c r="K462" s="15">
        <v>2.546296309446916E-4</v>
      </c>
      <c r="M462" s="8">
        <f t="shared" si="44"/>
        <v>557</v>
      </c>
      <c r="N462" s="9" t="s">
        <v>63</v>
      </c>
      <c r="O462" s="9" t="s">
        <v>16</v>
      </c>
      <c r="P462" s="9">
        <v>280</v>
      </c>
      <c r="Q462" s="9">
        <v>171</v>
      </c>
      <c r="R462" s="8" t="s">
        <v>17</v>
      </c>
      <c r="S462" s="11">
        <v>100</v>
      </c>
      <c r="T462" s="10">
        <v>0.27</v>
      </c>
    </row>
    <row r="463" spans="1:20" x14ac:dyDescent="0.3">
      <c r="A463" s="7">
        <f t="shared" si="45"/>
        <v>458</v>
      </c>
      <c r="B463" s="8">
        <v>4522</v>
      </c>
      <c r="C463" s="9" t="str">
        <f t="shared" si="43"/>
        <v>5580x85185fe3A4e36079818Ba1d12705A9B6898997040xa60AdD2af71a4f50b3F94509E71a1e9DbDeA5dDa1461115unidade810027</v>
      </c>
      <c r="D463" s="13"/>
      <c r="E463" s="8" t="s">
        <v>925</v>
      </c>
      <c r="F463" s="8">
        <f t="shared" si="42"/>
        <v>0</v>
      </c>
      <c r="G463" s="8">
        <f t="shared" si="42"/>
        <v>0</v>
      </c>
      <c r="H463" s="8">
        <f t="shared" si="42"/>
        <v>0</v>
      </c>
      <c r="I463" s="8">
        <f t="shared" si="42"/>
        <v>8</v>
      </c>
      <c r="J463" s="8">
        <f t="shared" si="41"/>
        <v>0</v>
      </c>
      <c r="K463" s="15">
        <v>9.0277777781011537E-4</v>
      </c>
      <c r="M463" s="8">
        <f t="shared" si="44"/>
        <v>558</v>
      </c>
      <c r="N463" s="9" t="s">
        <v>63</v>
      </c>
      <c r="O463" s="9" t="s">
        <v>16</v>
      </c>
      <c r="P463" s="9">
        <v>1461</v>
      </c>
      <c r="Q463" s="9">
        <v>115</v>
      </c>
      <c r="R463" s="8" t="s">
        <v>17</v>
      </c>
      <c r="S463" s="11">
        <v>81</v>
      </c>
      <c r="T463" s="10">
        <v>0.27</v>
      </c>
    </row>
    <row r="464" spans="1:20" x14ac:dyDescent="0.3">
      <c r="A464" s="7">
        <f t="shared" si="45"/>
        <v>459</v>
      </c>
      <c r="B464" s="8">
        <v>1303</v>
      </c>
      <c r="C464" s="9" t="str">
        <f t="shared" si="43"/>
        <v>5590x85185fe3A4e36079818Ba1d12705A9B6898997040xa60AdD2af71a4f50b3F94509E71a1e9DbDeA5dDa998189unidade560027</v>
      </c>
      <c r="D464" s="13"/>
      <c r="E464" s="8" t="s">
        <v>926</v>
      </c>
      <c r="F464" s="8">
        <f t="shared" si="42"/>
        <v>0</v>
      </c>
      <c r="G464" s="8">
        <f t="shared" si="42"/>
        <v>0</v>
      </c>
      <c r="H464" s="8">
        <f t="shared" si="42"/>
        <v>0</v>
      </c>
      <c r="I464" s="8">
        <f t="shared" si="42"/>
        <v>1</v>
      </c>
      <c r="J464" s="8">
        <f t="shared" si="41"/>
        <v>0</v>
      </c>
      <c r="K464" s="15">
        <v>1.9675926159834489E-4</v>
      </c>
      <c r="M464" s="8">
        <f t="shared" si="44"/>
        <v>559</v>
      </c>
      <c r="N464" s="9" t="s">
        <v>63</v>
      </c>
      <c r="O464" s="9" t="s">
        <v>16</v>
      </c>
      <c r="P464" s="9">
        <v>998</v>
      </c>
      <c r="Q464" s="9">
        <v>189</v>
      </c>
      <c r="R464" s="8" t="s">
        <v>17</v>
      </c>
      <c r="S464" s="11">
        <v>56</v>
      </c>
      <c r="T464" s="10">
        <v>0.27</v>
      </c>
    </row>
    <row r="465" spans="1:20" x14ac:dyDescent="0.3">
      <c r="A465" s="7">
        <f t="shared" si="45"/>
        <v>460</v>
      </c>
      <c r="B465" s="8">
        <v>3067</v>
      </c>
      <c r="C465" s="9" t="str">
        <f t="shared" si="43"/>
        <v>5600x85185fe3A4e36079818Ba1d12705A9B6898997040xa60AdD2af71a4f50b3F94509E71a1e9DbDeA5dDa1185142unidade130027</v>
      </c>
      <c r="D465" s="13"/>
      <c r="E465" s="8" t="s">
        <v>927</v>
      </c>
      <c r="F465" s="8">
        <f t="shared" si="42"/>
        <v>0</v>
      </c>
      <c r="G465" s="8">
        <f t="shared" si="42"/>
        <v>0</v>
      </c>
      <c r="H465" s="8">
        <f t="shared" si="42"/>
        <v>0</v>
      </c>
      <c r="I465" s="8">
        <f t="shared" si="42"/>
        <v>6</v>
      </c>
      <c r="J465" s="8">
        <f t="shared" si="41"/>
        <v>0</v>
      </c>
      <c r="K465" s="15">
        <v>5.9027777751907706E-4</v>
      </c>
      <c r="M465" s="8">
        <f t="shared" si="44"/>
        <v>560</v>
      </c>
      <c r="N465" s="9" t="s">
        <v>63</v>
      </c>
      <c r="O465" s="9" t="s">
        <v>16</v>
      </c>
      <c r="P465" s="9">
        <v>1185</v>
      </c>
      <c r="Q465" s="9">
        <v>142</v>
      </c>
      <c r="R465" s="8" t="s">
        <v>17</v>
      </c>
      <c r="S465" s="11">
        <v>13</v>
      </c>
      <c r="T465" s="10">
        <v>0.27</v>
      </c>
    </row>
    <row r="466" spans="1:20" x14ac:dyDescent="0.3">
      <c r="A466" s="7">
        <f t="shared" si="45"/>
        <v>461</v>
      </c>
      <c r="B466" s="8">
        <v>400</v>
      </c>
      <c r="C466" s="9" t="str">
        <f t="shared" si="43"/>
        <v>5610x85185fe3A4e36079818Ba1d12705A9B6898997040xa60AdD2af71a4f50b3F94509E71a1e9DbDeA5dDa1781166unidade1150027</v>
      </c>
      <c r="D466" s="13"/>
      <c r="E466" s="8" t="s">
        <v>928</v>
      </c>
      <c r="F466" s="8">
        <f t="shared" si="42"/>
        <v>0</v>
      </c>
      <c r="G466" s="8">
        <f t="shared" si="42"/>
        <v>0</v>
      </c>
      <c r="H466" s="8">
        <f t="shared" si="42"/>
        <v>0</v>
      </c>
      <c r="I466" s="8">
        <f t="shared" si="42"/>
        <v>5</v>
      </c>
      <c r="J466" s="8">
        <f t="shared" si="41"/>
        <v>0</v>
      </c>
      <c r="K466" s="15">
        <v>6.9444446125999093E-5</v>
      </c>
      <c r="M466" s="8">
        <f t="shared" si="44"/>
        <v>561</v>
      </c>
      <c r="N466" s="9" t="s">
        <v>63</v>
      </c>
      <c r="O466" s="9" t="s">
        <v>16</v>
      </c>
      <c r="P466" s="9">
        <v>1781</v>
      </c>
      <c r="Q466" s="9">
        <v>166</v>
      </c>
      <c r="R466" s="8" t="s">
        <v>17</v>
      </c>
      <c r="S466" s="11">
        <v>115</v>
      </c>
      <c r="T466" s="10">
        <v>0.27</v>
      </c>
    </row>
    <row r="467" spans="1:20" x14ac:dyDescent="0.3">
      <c r="A467" s="7">
        <f t="shared" si="45"/>
        <v>462</v>
      </c>
      <c r="B467" s="8">
        <v>11216</v>
      </c>
      <c r="C467" s="9" t="str">
        <f t="shared" si="43"/>
        <v>5620x85185fe3A4e36079818Ba1d12705A9B6898997040xa60AdD2af71a4f50b3F94509E71a1e9DbDeA5dDa353116unidade990027</v>
      </c>
      <c r="D467" s="13"/>
      <c r="E467" s="8" t="s">
        <v>929</v>
      </c>
      <c r="F467" s="8">
        <f t="shared" si="42"/>
        <v>0</v>
      </c>
      <c r="G467" s="8">
        <f t="shared" si="42"/>
        <v>0</v>
      </c>
      <c r="H467" s="8">
        <f t="shared" si="42"/>
        <v>0</v>
      </c>
      <c r="I467" s="8">
        <f t="shared" si="42"/>
        <v>6</v>
      </c>
      <c r="J467" s="8">
        <f t="shared" si="41"/>
        <v>0</v>
      </c>
      <c r="K467" s="15">
        <v>2.0486111097852699E-3</v>
      </c>
      <c r="M467" s="8">
        <f t="shared" si="44"/>
        <v>562</v>
      </c>
      <c r="N467" s="9" t="s">
        <v>63</v>
      </c>
      <c r="O467" s="9" t="s">
        <v>16</v>
      </c>
      <c r="P467" s="9">
        <v>353</v>
      </c>
      <c r="Q467" s="9">
        <v>116</v>
      </c>
      <c r="R467" s="8" t="s">
        <v>17</v>
      </c>
      <c r="S467" s="11">
        <v>99</v>
      </c>
      <c r="T467" s="10">
        <v>0.27</v>
      </c>
    </row>
    <row r="468" spans="1:20" x14ac:dyDescent="0.3">
      <c r="A468" s="7">
        <f t="shared" si="45"/>
        <v>463</v>
      </c>
      <c r="B468" s="8">
        <v>3145</v>
      </c>
      <c r="C468" s="9" t="str">
        <f t="shared" si="43"/>
        <v>5630x85185fe3A4e36079818Ba1d12705A9B6898997040xa60AdD2af71a4f50b3F94509E71a1e9DbDeA5dDa1353200unidade610027</v>
      </c>
      <c r="D468" s="13"/>
      <c r="E468" s="8" t="s">
        <v>930</v>
      </c>
      <c r="F468" s="8">
        <f t="shared" si="42"/>
        <v>0</v>
      </c>
      <c r="G468" s="8">
        <f t="shared" si="42"/>
        <v>0</v>
      </c>
      <c r="H468" s="8">
        <f t="shared" si="42"/>
        <v>0</v>
      </c>
      <c r="I468" s="8">
        <f t="shared" si="42"/>
        <v>7</v>
      </c>
      <c r="J468" s="8">
        <f t="shared" si="41"/>
        <v>0</v>
      </c>
      <c r="K468" s="15">
        <v>7.0601851621177047E-4</v>
      </c>
      <c r="M468" s="8">
        <f t="shared" si="44"/>
        <v>563</v>
      </c>
      <c r="N468" s="9" t="s">
        <v>63</v>
      </c>
      <c r="O468" s="9" t="s">
        <v>16</v>
      </c>
      <c r="P468" s="9">
        <v>1353</v>
      </c>
      <c r="Q468" s="9">
        <v>200</v>
      </c>
      <c r="R468" s="8" t="s">
        <v>17</v>
      </c>
      <c r="S468" s="11">
        <v>61</v>
      </c>
      <c r="T468" s="10">
        <v>0.27</v>
      </c>
    </row>
    <row r="469" spans="1:20" x14ac:dyDescent="0.3">
      <c r="A469" s="7">
        <f t="shared" si="45"/>
        <v>464</v>
      </c>
      <c r="B469" s="8">
        <v>1840</v>
      </c>
      <c r="C469" s="9" t="str">
        <f t="shared" si="43"/>
        <v>5640x85185fe3A4e36079818Ba1d12705A9B6898997040xa60AdD2af71a4f50b3F94509E71a1e9DbDeA5dDa1330111unidade900027</v>
      </c>
      <c r="D469" s="13"/>
      <c r="E469" s="8" t="s">
        <v>931</v>
      </c>
      <c r="F469" s="8">
        <f t="shared" si="42"/>
        <v>0</v>
      </c>
      <c r="G469" s="8">
        <f t="shared" si="42"/>
        <v>0</v>
      </c>
      <c r="H469" s="8">
        <f t="shared" si="42"/>
        <v>0</v>
      </c>
      <c r="I469" s="8">
        <f t="shared" si="42"/>
        <v>8</v>
      </c>
      <c r="J469" s="8">
        <f t="shared" si="41"/>
        <v>0</v>
      </c>
      <c r="K469" s="15">
        <v>4.0509259270038456E-4</v>
      </c>
      <c r="M469" s="8">
        <f t="shared" si="44"/>
        <v>564</v>
      </c>
      <c r="N469" s="9" t="s">
        <v>63</v>
      </c>
      <c r="O469" s="9" t="s">
        <v>16</v>
      </c>
      <c r="P469" s="9">
        <v>1330</v>
      </c>
      <c r="Q469" s="9">
        <v>111</v>
      </c>
      <c r="R469" s="8" t="s">
        <v>17</v>
      </c>
      <c r="S469" s="11">
        <v>90</v>
      </c>
      <c r="T469" s="10">
        <v>0.27</v>
      </c>
    </row>
    <row r="470" spans="1:20" x14ac:dyDescent="0.3">
      <c r="A470" s="7">
        <f t="shared" si="45"/>
        <v>465</v>
      </c>
      <c r="B470" s="8">
        <v>89</v>
      </c>
      <c r="C470" s="9" t="str">
        <f t="shared" si="43"/>
        <v>5650x85185fe3A4e36079818Ba1d12705A9B6898997040xa60AdD2af71a4f50b3F94509E71a1e9DbDeA5dDa1793129unidade310027</v>
      </c>
      <c r="D470" s="13"/>
      <c r="E470" s="8" t="s">
        <v>932</v>
      </c>
      <c r="F470" s="8">
        <f t="shared" si="42"/>
        <v>0</v>
      </c>
      <c r="G470" s="8">
        <f t="shared" si="42"/>
        <v>0</v>
      </c>
      <c r="H470" s="8">
        <f t="shared" si="42"/>
        <v>0</v>
      </c>
      <c r="I470" s="8">
        <f t="shared" si="42"/>
        <v>5</v>
      </c>
      <c r="J470" s="8">
        <f t="shared" ref="J470:J505" si="46">SUM(F470:H470)</f>
        <v>0</v>
      </c>
      <c r="K470" s="15">
        <v>1.1574076779652387E-5</v>
      </c>
      <c r="M470" s="8">
        <f t="shared" si="44"/>
        <v>565</v>
      </c>
      <c r="N470" s="9" t="s">
        <v>63</v>
      </c>
      <c r="O470" s="9" t="s">
        <v>16</v>
      </c>
      <c r="P470" s="9">
        <v>1793</v>
      </c>
      <c r="Q470" s="9">
        <v>129</v>
      </c>
      <c r="R470" s="8" t="s">
        <v>17</v>
      </c>
      <c r="S470" s="11">
        <v>31</v>
      </c>
      <c r="T470" s="10">
        <v>0.27</v>
      </c>
    </row>
    <row r="471" spans="1:20" x14ac:dyDescent="0.3">
      <c r="A471" s="7">
        <f t="shared" si="45"/>
        <v>466</v>
      </c>
      <c r="B471" s="8">
        <v>1211</v>
      </c>
      <c r="C471" s="9" t="str">
        <f t="shared" si="43"/>
        <v>5660x85185fe3A4e36079818Ba1d12705A9B6898997040xa60AdD2af71a4f50b3F94509E71a1e9DbDeA5dDa769140unidade1180027</v>
      </c>
      <c r="D471" s="13"/>
      <c r="E471" s="8" t="s">
        <v>933</v>
      </c>
      <c r="F471" s="8">
        <f t="shared" si="42"/>
        <v>0</v>
      </c>
      <c r="G471" s="8">
        <f t="shared" si="42"/>
        <v>0</v>
      </c>
      <c r="H471" s="8">
        <f t="shared" si="42"/>
        <v>0</v>
      </c>
      <c r="I471" s="8">
        <f t="shared" ref="F471:I505" si="47">IFERROR(VALUE(MID($E471,I$1,1)),1)</f>
        <v>1</v>
      </c>
      <c r="J471" s="8">
        <f t="shared" si="46"/>
        <v>0</v>
      </c>
      <c r="K471" s="15">
        <v>2.0833333110203966E-4</v>
      </c>
      <c r="M471" s="8">
        <f t="shared" si="44"/>
        <v>566</v>
      </c>
      <c r="N471" s="9" t="s">
        <v>63</v>
      </c>
      <c r="O471" s="9" t="s">
        <v>16</v>
      </c>
      <c r="P471" s="9">
        <v>769</v>
      </c>
      <c r="Q471" s="9">
        <v>140</v>
      </c>
      <c r="R471" s="8" t="s">
        <v>17</v>
      </c>
      <c r="S471" s="11">
        <v>118</v>
      </c>
      <c r="T471" s="10">
        <v>0.27</v>
      </c>
    </row>
    <row r="472" spans="1:20" x14ac:dyDescent="0.3">
      <c r="A472" s="7">
        <f t="shared" si="45"/>
        <v>467</v>
      </c>
      <c r="B472" s="8">
        <v>1366</v>
      </c>
      <c r="C472" s="9" t="str">
        <f t="shared" si="43"/>
        <v>5670x85185fe3A4e36079818Ba1d12705A9B6898997040xa60AdD2af71a4f50b3F94509E71a1e9DbDeA5dDa747192unidade720027</v>
      </c>
      <c r="D472" s="13"/>
      <c r="E472" s="8" t="s">
        <v>934</v>
      </c>
      <c r="F472" s="8">
        <f t="shared" si="47"/>
        <v>0</v>
      </c>
      <c r="G472" s="8">
        <f t="shared" si="47"/>
        <v>0</v>
      </c>
      <c r="H472" s="8">
        <f t="shared" si="47"/>
        <v>0</v>
      </c>
      <c r="I472" s="8">
        <f t="shared" si="47"/>
        <v>1</v>
      </c>
      <c r="J472" s="8">
        <f t="shared" si="46"/>
        <v>0</v>
      </c>
      <c r="K472" s="15">
        <v>3.3564814657438546E-4</v>
      </c>
      <c r="M472" s="8">
        <f t="shared" si="44"/>
        <v>567</v>
      </c>
      <c r="N472" s="9" t="s">
        <v>63</v>
      </c>
      <c r="O472" s="9" t="s">
        <v>16</v>
      </c>
      <c r="P472" s="9">
        <v>747</v>
      </c>
      <c r="Q472" s="9">
        <v>192</v>
      </c>
      <c r="R472" s="8" t="s">
        <v>17</v>
      </c>
      <c r="S472" s="11">
        <v>72</v>
      </c>
      <c r="T472" s="10">
        <v>0.27</v>
      </c>
    </row>
    <row r="473" spans="1:20" x14ac:dyDescent="0.3">
      <c r="A473" s="7">
        <f t="shared" si="45"/>
        <v>468</v>
      </c>
      <c r="B473" s="8">
        <v>4387</v>
      </c>
      <c r="C473" s="9" t="str">
        <f t="shared" si="43"/>
        <v>5680x85185fe3A4e36079818Ba1d12705A9B6898997040xa60AdD2af71a4f50b3F94509E71a1e9DbDeA5dDa311164unidade360027</v>
      </c>
      <c r="D473" s="13"/>
      <c r="E473" s="8" t="s">
        <v>935</v>
      </c>
      <c r="F473" s="8">
        <f t="shared" si="47"/>
        <v>0</v>
      </c>
      <c r="G473" s="8">
        <f t="shared" si="47"/>
        <v>0</v>
      </c>
      <c r="H473" s="8">
        <f t="shared" si="47"/>
        <v>0</v>
      </c>
      <c r="I473" s="8">
        <f t="shared" si="47"/>
        <v>1</v>
      </c>
      <c r="J473" s="8">
        <f t="shared" si="46"/>
        <v>0</v>
      </c>
      <c r="K473" s="15">
        <v>9.7222222393611446E-4</v>
      </c>
      <c r="M473" s="8">
        <f t="shared" si="44"/>
        <v>568</v>
      </c>
      <c r="N473" s="9" t="s">
        <v>63</v>
      </c>
      <c r="O473" s="9" t="s">
        <v>16</v>
      </c>
      <c r="P473" s="9">
        <v>311</v>
      </c>
      <c r="Q473" s="9">
        <v>164</v>
      </c>
      <c r="R473" s="8" t="s">
        <v>17</v>
      </c>
      <c r="S473" s="11">
        <v>36</v>
      </c>
      <c r="T473" s="10">
        <v>0.27</v>
      </c>
    </row>
    <row r="474" spans="1:20" x14ac:dyDescent="0.3">
      <c r="A474" s="7">
        <f t="shared" si="45"/>
        <v>469</v>
      </c>
      <c r="B474" s="8">
        <v>1235</v>
      </c>
      <c r="C474" s="9" t="str">
        <f t="shared" si="43"/>
        <v>5690x85185fe3A4e36079818Ba1d12705A9B6898997040xa60AdD2af71a4f50b3F94509E71a1e9DbDeA5dDa1180181unidade890027</v>
      </c>
      <c r="D474" s="13"/>
      <c r="E474" s="8" t="s">
        <v>936</v>
      </c>
      <c r="F474" s="8">
        <f t="shared" si="47"/>
        <v>0</v>
      </c>
      <c r="G474" s="8">
        <f t="shared" si="47"/>
        <v>0</v>
      </c>
      <c r="H474" s="8">
        <f t="shared" si="47"/>
        <v>0</v>
      </c>
      <c r="I474" s="8">
        <f t="shared" si="47"/>
        <v>0</v>
      </c>
      <c r="J474" s="8">
        <f t="shared" si="46"/>
        <v>0</v>
      </c>
      <c r="K474" s="15">
        <v>3.0092592351138592E-4</v>
      </c>
      <c r="M474" s="8">
        <f t="shared" si="44"/>
        <v>569</v>
      </c>
      <c r="N474" s="9" t="s">
        <v>63</v>
      </c>
      <c r="O474" s="9" t="s">
        <v>16</v>
      </c>
      <c r="P474" s="9">
        <v>1180</v>
      </c>
      <c r="Q474" s="9">
        <v>181</v>
      </c>
      <c r="R474" s="8" t="s">
        <v>17</v>
      </c>
      <c r="S474" s="11">
        <v>89</v>
      </c>
      <c r="T474" s="10">
        <v>0.27</v>
      </c>
    </row>
    <row r="475" spans="1:20" x14ac:dyDescent="0.3">
      <c r="A475" s="7">
        <f t="shared" si="45"/>
        <v>470</v>
      </c>
      <c r="B475" s="8">
        <v>794</v>
      </c>
      <c r="C475" s="9" t="str">
        <f t="shared" si="43"/>
        <v>5700x85185fe3A4e36079818Ba1d12705A9B6898997040xa60AdD2af71a4f50b3F94509E71a1e9DbDeA5dDa1048140unidade510027</v>
      </c>
      <c r="D475" s="13"/>
      <c r="E475" s="8" t="s">
        <v>937</v>
      </c>
      <c r="F475" s="8">
        <f t="shared" si="47"/>
        <v>0</v>
      </c>
      <c r="G475" s="8">
        <f t="shared" si="47"/>
        <v>0</v>
      </c>
      <c r="H475" s="8">
        <f t="shared" si="47"/>
        <v>0</v>
      </c>
      <c r="I475" s="8">
        <f t="shared" si="47"/>
        <v>6</v>
      </c>
      <c r="J475" s="8">
        <f t="shared" si="46"/>
        <v>0</v>
      </c>
      <c r="K475" s="15">
        <v>1.5046296903165057E-4</v>
      </c>
      <c r="M475" s="8">
        <f t="shared" si="44"/>
        <v>570</v>
      </c>
      <c r="N475" s="9" t="s">
        <v>63</v>
      </c>
      <c r="O475" s="9" t="s">
        <v>16</v>
      </c>
      <c r="P475" s="9">
        <v>1048</v>
      </c>
      <c r="Q475" s="9">
        <v>140</v>
      </c>
      <c r="R475" s="8" t="s">
        <v>17</v>
      </c>
      <c r="S475" s="11">
        <v>51</v>
      </c>
      <c r="T475" s="10">
        <v>0.27</v>
      </c>
    </row>
    <row r="476" spans="1:20" x14ac:dyDescent="0.3">
      <c r="A476" s="7">
        <f t="shared" si="45"/>
        <v>471</v>
      </c>
      <c r="B476" s="8">
        <v>566</v>
      </c>
      <c r="C476" s="9" t="str">
        <f t="shared" si="43"/>
        <v>5710x85185fe3A4e36079818Ba1d12705A9B6898997040xa60AdD2af71a4f50b3F94509E71a1e9DbDeA5dDa993188unidade1190027</v>
      </c>
      <c r="D476" s="13"/>
      <c r="E476" s="8" t="s">
        <v>938</v>
      </c>
      <c r="F476" s="8">
        <f t="shared" si="47"/>
        <v>0</v>
      </c>
      <c r="G476" s="8">
        <f t="shared" si="47"/>
        <v>0</v>
      </c>
      <c r="H476" s="8">
        <f t="shared" si="47"/>
        <v>0</v>
      </c>
      <c r="I476" s="8">
        <f t="shared" si="47"/>
        <v>4</v>
      </c>
      <c r="J476" s="8">
        <f t="shared" si="46"/>
        <v>0</v>
      </c>
      <c r="K476" s="15">
        <v>1.5046296175569296E-4</v>
      </c>
      <c r="M476" s="8">
        <f t="shared" si="44"/>
        <v>571</v>
      </c>
      <c r="N476" s="9" t="s">
        <v>63</v>
      </c>
      <c r="O476" s="9" t="s">
        <v>16</v>
      </c>
      <c r="P476" s="9">
        <v>993</v>
      </c>
      <c r="Q476" s="9">
        <v>188</v>
      </c>
      <c r="R476" s="8" t="s">
        <v>17</v>
      </c>
      <c r="S476" s="11">
        <v>119</v>
      </c>
      <c r="T476" s="10">
        <v>0.27</v>
      </c>
    </row>
    <row r="477" spans="1:20" x14ac:dyDescent="0.3">
      <c r="A477" s="7">
        <f t="shared" si="45"/>
        <v>472</v>
      </c>
      <c r="B477" s="8">
        <v>473</v>
      </c>
      <c r="C477" s="9" t="str">
        <f t="shared" si="43"/>
        <v>5720x85185fe3A4e36079818Ba1d12705A9B6898997040xa60AdD2af71a4f50b3F94509E71a1e9DbDeA5dDa1114200unidade550027</v>
      </c>
      <c r="D477" s="13"/>
      <c r="E477" s="8" t="s">
        <v>939</v>
      </c>
      <c r="F477" s="8">
        <f t="shared" si="47"/>
        <v>0</v>
      </c>
      <c r="G477" s="8">
        <f t="shared" si="47"/>
        <v>0</v>
      </c>
      <c r="H477" s="8">
        <f t="shared" si="47"/>
        <v>0</v>
      </c>
      <c r="I477" s="8">
        <f t="shared" si="47"/>
        <v>2</v>
      </c>
      <c r="J477" s="8">
        <f t="shared" si="46"/>
        <v>0</v>
      </c>
      <c r="K477" s="15">
        <v>9.2592592409346253E-5</v>
      </c>
      <c r="M477" s="8">
        <f t="shared" si="44"/>
        <v>572</v>
      </c>
      <c r="N477" s="9" t="s">
        <v>63</v>
      </c>
      <c r="O477" s="9" t="s">
        <v>16</v>
      </c>
      <c r="P477" s="9">
        <v>1114</v>
      </c>
      <c r="Q477" s="9">
        <v>200</v>
      </c>
      <c r="R477" s="8" t="s">
        <v>17</v>
      </c>
      <c r="S477" s="11">
        <v>55</v>
      </c>
      <c r="T477" s="10">
        <v>0.27</v>
      </c>
    </row>
    <row r="478" spans="1:20" x14ac:dyDescent="0.3">
      <c r="A478" s="7">
        <f t="shared" si="45"/>
        <v>473</v>
      </c>
      <c r="B478" s="8">
        <v>459</v>
      </c>
      <c r="C478" s="9" t="str">
        <f t="shared" si="43"/>
        <v>5730x85185fe3A4e36079818Ba1d12705A9B6898997040xa60AdD2af71a4f50b3F94509E71a1e9DbDeA5dDa1936103unidade810027</v>
      </c>
      <c r="D478" s="13"/>
      <c r="E478" s="8" t="s">
        <v>940</v>
      </c>
      <c r="F478" s="8">
        <f t="shared" si="47"/>
        <v>0</v>
      </c>
      <c r="G478" s="8">
        <f t="shared" si="47"/>
        <v>0</v>
      </c>
      <c r="H478" s="8">
        <f t="shared" si="47"/>
        <v>0</v>
      </c>
      <c r="I478" s="8">
        <f t="shared" si="47"/>
        <v>3</v>
      </c>
      <c r="J478" s="8">
        <f t="shared" si="46"/>
        <v>0</v>
      </c>
      <c r="K478" s="15">
        <v>1.0416666191304103E-4</v>
      </c>
      <c r="M478" s="8">
        <f t="shared" si="44"/>
        <v>573</v>
      </c>
      <c r="N478" s="9" t="s">
        <v>63</v>
      </c>
      <c r="O478" s="9" t="s">
        <v>16</v>
      </c>
      <c r="P478" s="9">
        <v>1936</v>
      </c>
      <c r="Q478" s="9">
        <v>103</v>
      </c>
      <c r="R478" s="8" t="s">
        <v>17</v>
      </c>
      <c r="S478" s="11">
        <v>81</v>
      </c>
      <c r="T478" s="10">
        <v>0.27</v>
      </c>
    </row>
    <row r="479" spans="1:20" x14ac:dyDescent="0.3">
      <c r="A479" s="7">
        <f t="shared" si="45"/>
        <v>474</v>
      </c>
      <c r="B479" s="8">
        <v>2966</v>
      </c>
      <c r="C479" s="9" t="str">
        <f t="shared" si="43"/>
        <v>5740x85185fe3A4e36079818Ba1d12705A9B6898997040xa60AdD2af71a4f50b3F94509E71a1e9DbDeA5dDa1880152unidade700027</v>
      </c>
      <c r="D479" s="13"/>
      <c r="E479" s="8" t="s">
        <v>941</v>
      </c>
      <c r="F479" s="8">
        <f t="shared" si="47"/>
        <v>0</v>
      </c>
      <c r="G479" s="8">
        <f t="shared" si="47"/>
        <v>0</v>
      </c>
      <c r="H479" s="8">
        <f t="shared" si="47"/>
        <v>0</v>
      </c>
      <c r="I479" s="8">
        <f t="shared" si="47"/>
        <v>1</v>
      </c>
      <c r="J479" s="8">
        <f t="shared" si="46"/>
        <v>0</v>
      </c>
      <c r="K479" s="15">
        <v>6.2500000058207661E-4</v>
      </c>
      <c r="M479" s="8">
        <f t="shared" si="44"/>
        <v>574</v>
      </c>
      <c r="N479" s="9" t="s">
        <v>63</v>
      </c>
      <c r="O479" s="9" t="s">
        <v>16</v>
      </c>
      <c r="P479" s="9">
        <v>1880</v>
      </c>
      <c r="Q479" s="9">
        <v>152</v>
      </c>
      <c r="R479" s="8" t="s">
        <v>17</v>
      </c>
      <c r="S479" s="11">
        <v>70</v>
      </c>
      <c r="T479" s="10">
        <v>0.27</v>
      </c>
    </row>
    <row r="480" spans="1:20" x14ac:dyDescent="0.3">
      <c r="A480" s="7">
        <f t="shared" si="45"/>
        <v>475</v>
      </c>
      <c r="B480" s="8">
        <v>773</v>
      </c>
      <c r="C480" s="9" t="str">
        <f t="shared" si="43"/>
        <v>5750x85185fe3A4e36079818Ba1d12705A9B6898997040xa60AdD2af71a4f50b3F94509E71a1e9DbDeA5dDa1269132unidade970027</v>
      </c>
      <c r="D480" s="13"/>
      <c r="E480" s="8" t="s">
        <v>942</v>
      </c>
      <c r="F480" s="8">
        <f t="shared" si="47"/>
        <v>0</v>
      </c>
      <c r="G480" s="8">
        <f t="shared" si="47"/>
        <v>0</v>
      </c>
      <c r="H480" s="8">
        <f t="shared" si="47"/>
        <v>0</v>
      </c>
      <c r="I480" s="8">
        <f t="shared" si="47"/>
        <v>1</v>
      </c>
      <c r="J480" s="8">
        <f t="shared" si="46"/>
        <v>0</v>
      </c>
      <c r="K480" s="15">
        <v>1.6203703853534535E-4</v>
      </c>
      <c r="M480" s="8">
        <f t="shared" si="44"/>
        <v>575</v>
      </c>
      <c r="N480" s="9" t="s">
        <v>63</v>
      </c>
      <c r="O480" s="9" t="s">
        <v>16</v>
      </c>
      <c r="P480" s="9">
        <v>1269</v>
      </c>
      <c r="Q480" s="9">
        <v>132</v>
      </c>
      <c r="R480" s="8" t="s">
        <v>17</v>
      </c>
      <c r="S480" s="11">
        <v>97</v>
      </c>
      <c r="T480" s="10">
        <v>0.27</v>
      </c>
    </row>
    <row r="481" spans="1:20" x14ac:dyDescent="0.3">
      <c r="A481" s="7">
        <f t="shared" si="45"/>
        <v>476</v>
      </c>
      <c r="B481" s="8">
        <v>1585</v>
      </c>
      <c r="C481" s="9" t="str">
        <f t="shared" si="43"/>
        <v>5760x85185fe3A4e36079818Ba1d12705A9B6898997040xa60AdD2af71a4f50b3F94509E71a1e9DbDeA5dDa1179122unidade720027</v>
      </c>
      <c r="D481" s="13"/>
      <c r="E481" s="8" t="s">
        <v>943</v>
      </c>
      <c r="F481" s="8">
        <f t="shared" si="47"/>
        <v>0</v>
      </c>
      <c r="G481" s="8">
        <f t="shared" si="47"/>
        <v>0</v>
      </c>
      <c r="H481" s="8">
        <f t="shared" si="47"/>
        <v>0</v>
      </c>
      <c r="I481" s="8">
        <f t="shared" si="47"/>
        <v>1</v>
      </c>
      <c r="J481" s="8">
        <f t="shared" si="46"/>
        <v>0</v>
      </c>
      <c r="K481" s="15">
        <v>4.5138889254303649E-4</v>
      </c>
      <c r="M481" s="8">
        <f t="shared" si="44"/>
        <v>576</v>
      </c>
      <c r="N481" s="9" t="s">
        <v>63</v>
      </c>
      <c r="O481" s="9" t="s">
        <v>16</v>
      </c>
      <c r="P481" s="9">
        <v>1179</v>
      </c>
      <c r="Q481" s="9">
        <v>122</v>
      </c>
      <c r="R481" s="8" t="s">
        <v>17</v>
      </c>
      <c r="S481" s="11">
        <v>72</v>
      </c>
      <c r="T481" s="10">
        <v>0.27</v>
      </c>
    </row>
    <row r="482" spans="1:20" x14ac:dyDescent="0.3">
      <c r="A482" s="7">
        <f t="shared" si="45"/>
        <v>477</v>
      </c>
      <c r="B482" s="8">
        <v>2028</v>
      </c>
      <c r="C482" s="9" t="str">
        <f t="shared" si="43"/>
        <v>5770x85185fe3A4e36079818Ba1d12705A9B6898997040xa60AdD2af71a4f50b3F94509E71a1e9DbDeA5dDa498140unidade550027</v>
      </c>
      <c r="D482" s="13"/>
      <c r="E482" s="8" t="s">
        <v>944</v>
      </c>
      <c r="F482" s="8">
        <f t="shared" si="47"/>
        <v>0</v>
      </c>
      <c r="G482" s="8">
        <f t="shared" si="47"/>
        <v>0</v>
      </c>
      <c r="H482" s="8">
        <f t="shared" si="47"/>
        <v>0</v>
      </c>
      <c r="I482" s="8">
        <f t="shared" si="47"/>
        <v>4</v>
      </c>
      <c r="J482" s="8">
        <f t="shared" si="46"/>
        <v>0</v>
      </c>
      <c r="K482" s="15">
        <v>4.8611110833007842E-4</v>
      </c>
      <c r="M482" s="8">
        <f t="shared" si="44"/>
        <v>577</v>
      </c>
      <c r="N482" s="9" t="s">
        <v>63</v>
      </c>
      <c r="O482" s="9" t="s">
        <v>16</v>
      </c>
      <c r="P482" s="9">
        <v>498</v>
      </c>
      <c r="Q482" s="9">
        <v>140</v>
      </c>
      <c r="R482" s="8" t="s">
        <v>17</v>
      </c>
      <c r="S482" s="11">
        <v>55</v>
      </c>
      <c r="T482" s="10">
        <v>0.27</v>
      </c>
    </row>
    <row r="483" spans="1:20" x14ac:dyDescent="0.3">
      <c r="A483" s="7">
        <f t="shared" si="45"/>
        <v>478</v>
      </c>
      <c r="B483" s="8">
        <v>6441</v>
      </c>
      <c r="C483" s="9" t="str">
        <f t="shared" si="43"/>
        <v>5780x85185fe3A4e36079818Ba1d12705A9B6898997040xa60AdD2af71a4f50b3F94509E71a1e9DbDeA5dDa969107unidade270027</v>
      </c>
      <c r="D483" s="13"/>
      <c r="E483" s="8" t="s">
        <v>945</v>
      </c>
      <c r="F483" s="8">
        <f t="shared" si="47"/>
        <v>0</v>
      </c>
      <c r="G483" s="8">
        <f t="shared" si="47"/>
        <v>0</v>
      </c>
      <c r="H483" s="8">
        <f t="shared" si="47"/>
        <v>0</v>
      </c>
      <c r="I483" s="8">
        <f t="shared" si="47"/>
        <v>6</v>
      </c>
      <c r="J483" s="8">
        <f t="shared" si="46"/>
        <v>0</v>
      </c>
      <c r="K483" s="15">
        <v>1.4930555553291924E-3</v>
      </c>
      <c r="M483" s="8">
        <f t="shared" si="44"/>
        <v>578</v>
      </c>
      <c r="N483" s="9" t="s">
        <v>63</v>
      </c>
      <c r="O483" s="9" t="s">
        <v>16</v>
      </c>
      <c r="P483" s="9">
        <v>969</v>
      </c>
      <c r="Q483" s="9">
        <v>107</v>
      </c>
      <c r="R483" s="8" t="s">
        <v>17</v>
      </c>
      <c r="S483" s="11">
        <v>27</v>
      </c>
      <c r="T483" s="10">
        <v>0.27</v>
      </c>
    </row>
    <row r="484" spans="1:20" x14ac:dyDescent="0.3">
      <c r="A484" s="7">
        <f t="shared" si="45"/>
        <v>479</v>
      </c>
      <c r="B484" s="8">
        <v>1952</v>
      </c>
      <c r="C484" s="9" t="str">
        <f t="shared" si="43"/>
        <v>5790x85185fe3A4e36079818Ba1d12705A9B6898997040xa60AdD2af71a4f50b3F94509E71a1e9DbDeA5dDa1626148unidade340027</v>
      </c>
      <c r="D484" s="13"/>
      <c r="E484" s="8" t="s">
        <v>946</v>
      </c>
      <c r="F484" s="8">
        <f t="shared" si="47"/>
        <v>0</v>
      </c>
      <c r="G484" s="8">
        <f t="shared" si="47"/>
        <v>0</v>
      </c>
      <c r="H484" s="8">
        <f t="shared" si="47"/>
        <v>0</v>
      </c>
      <c r="I484" s="8">
        <f t="shared" si="47"/>
        <v>1</v>
      </c>
      <c r="J484" s="8">
        <f t="shared" si="46"/>
        <v>0</v>
      </c>
      <c r="K484" s="15">
        <v>1.8518518481869251E-4</v>
      </c>
      <c r="M484" s="8">
        <f t="shared" si="44"/>
        <v>579</v>
      </c>
      <c r="N484" s="9" t="s">
        <v>63</v>
      </c>
      <c r="O484" s="9" t="s">
        <v>16</v>
      </c>
      <c r="P484" s="9">
        <v>1626</v>
      </c>
      <c r="Q484" s="9">
        <v>148</v>
      </c>
      <c r="R484" s="8" t="s">
        <v>17</v>
      </c>
      <c r="S484" s="11">
        <v>34</v>
      </c>
      <c r="T484" s="10">
        <v>0.27</v>
      </c>
    </row>
    <row r="485" spans="1:20" x14ac:dyDescent="0.3">
      <c r="A485" s="7">
        <f t="shared" si="45"/>
        <v>480</v>
      </c>
      <c r="B485" s="8">
        <v>8934</v>
      </c>
      <c r="C485" s="9" t="str">
        <f t="shared" si="43"/>
        <v>5800x85185fe3A4e36079818Ba1d12705A9B6898997040xa60AdD2af71a4f50b3F94509E71a1e9DbDeA5dDa1767132unidade430027</v>
      </c>
      <c r="D485" s="13"/>
      <c r="E485" s="8" t="s">
        <v>947</v>
      </c>
      <c r="F485" s="8">
        <f t="shared" si="47"/>
        <v>0</v>
      </c>
      <c r="G485" s="8">
        <f t="shared" si="47"/>
        <v>0</v>
      </c>
      <c r="H485" s="8">
        <f t="shared" si="47"/>
        <v>0</v>
      </c>
      <c r="I485" s="8">
        <f t="shared" si="47"/>
        <v>1</v>
      </c>
      <c r="J485" s="8">
        <f t="shared" si="46"/>
        <v>0</v>
      </c>
      <c r="K485" s="15">
        <v>1.0416666700621136E-3</v>
      </c>
      <c r="M485" s="8">
        <f t="shared" si="44"/>
        <v>580</v>
      </c>
      <c r="N485" s="9" t="s">
        <v>63</v>
      </c>
      <c r="O485" s="9" t="s">
        <v>16</v>
      </c>
      <c r="P485" s="9">
        <v>1767</v>
      </c>
      <c r="Q485" s="9">
        <v>132</v>
      </c>
      <c r="R485" s="8" t="s">
        <v>17</v>
      </c>
      <c r="S485" s="11">
        <v>43</v>
      </c>
      <c r="T485" s="10">
        <v>0.27</v>
      </c>
    </row>
    <row r="486" spans="1:20" x14ac:dyDescent="0.3">
      <c r="A486" s="7">
        <f t="shared" si="45"/>
        <v>481</v>
      </c>
      <c r="B486" s="8">
        <v>8026</v>
      </c>
      <c r="C486" s="9" t="str">
        <f t="shared" si="43"/>
        <v>5810x85185fe3A4e36079818Ba1d12705A9B6898997040xa60AdD2af71a4f50b3F94509E71a1e9DbDeA5dDa1750190unidade420027</v>
      </c>
      <c r="D486" s="13"/>
      <c r="E486" s="8" t="s">
        <v>948</v>
      </c>
      <c r="F486" s="8">
        <f t="shared" si="47"/>
        <v>0</v>
      </c>
      <c r="G486" s="8">
        <f t="shared" si="47"/>
        <v>0</v>
      </c>
      <c r="H486" s="8">
        <f t="shared" si="47"/>
        <v>0</v>
      </c>
      <c r="I486" s="8">
        <f t="shared" si="47"/>
        <v>1</v>
      </c>
      <c r="J486" s="8">
        <f t="shared" si="46"/>
        <v>0</v>
      </c>
      <c r="K486" s="15">
        <v>4.9768518510973081E-4</v>
      </c>
      <c r="M486" s="8">
        <f t="shared" si="44"/>
        <v>581</v>
      </c>
      <c r="N486" s="9" t="s">
        <v>63</v>
      </c>
      <c r="O486" s="9" t="s">
        <v>16</v>
      </c>
      <c r="P486" s="9">
        <v>1750</v>
      </c>
      <c r="Q486" s="9">
        <v>190</v>
      </c>
      <c r="R486" s="8" t="s">
        <v>17</v>
      </c>
      <c r="S486" s="11">
        <v>42</v>
      </c>
      <c r="T486" s="10">
        <v>0.27</v>
      </c>
    </row>
    <row r="487" spans="1:20" x14ac:dyDescent="0.3">
      <c r="A487" s="7">
        <f t="shared" si="45"/>
        <v>482</v>
      </c>
      <c r="B487" s="8">
        <v>1105</v>
      </c>
      <c r="C487" s="9" t="str">
        <f t="shared" si="43"/>
        <v>5820x85185fe3A4e36079818Ba1d12705A9B6898997040xa60AdD2af71a4f50b3F94509E71a1e9DbDeA5dDa356114unidade820027</v>
      </c>
      <c r="D487" s="13"/>
      <c r="E487" s="8" t="s">
        <v>949</v>
      </c>
      <c r="F487" s="8">
        <f t="shared" si="47"/>
        <v>0</v>
      </c>
      <c r="G487" s="8">
        <f t="shared" si="47"/>
        <v>0</v>
      </c>
      <c r="H487" s="8">
        <f t="shared" si="47"/>
        <v>0</v>
      </c>
      <c r="I487" s="8">
        <f t="shared" si="47"/>
        <v>9</v>
      </c>
      <c r="J487" s="8">
        <f t="shared" si="46"/>
        <v>0</v>
      </c>
      <c r="K487" s="15">
        <v>5.7870369346346706E-5</v>
      </c>
      <c r="M487" s="8">
        <f t="shared" si="44"/>
        <v>582</v>
      </c>
      <c r="N487" s="9" t="s">
        <v>63</v>
      </c>
      <c r="O487" s="9" t="s">
        <v>16</v>
      </c>
      <c r="P487" s="9">
        <v>356</v>
      </c>
      <c r="Q487" s="9">
        <v>114</v>
      </c>
      <c r="R487" s="8" t="s">
        <v>17</v>
      </c>
      <c r="S487" s="11">
        <v>82</v>
      </c>
      <c r="T487" s="10">
        <v>0.27</v>
      </c>
    </row>
    <row r="488" spans="1:20" x14ac:dyDescent="0.3">
      <c r="A488" s="7">
        <f t="shared" si="45"/>
        <v>483</v>
      </c>
      <c r="B488" s="8">
        <v>546</v>
      </c>
      <c r="C488" s="9" t="str">
        <f t="shared" si="43"/>
        <v>5830x85185fe3A4e36079818Ba1d12705A9B6898997040xa60AdD2af71a4f50b3F94509E71a1e9DbDeA5dDa172125unidade310027</v>
      </c>
      <c r="D488" s="13"/>
      <c r="E488" s="8" t="s">
        <v>950</v>
      </c>
      <c r="F488" s="8">
        <f t="shared" si="47"/>
        <v>0</v>
      </c>
      <c r="G488" s="8">
        <f t="shared" si="47"/>
        <v>0</v>
      </c>
      <c r="H488" s="8">
        <f t="shared" si="47"/>
        <v>0</v>
      </c>
      <c r="I488" s="8">
        <f t="shared" si="47"/>
        <v>4</v>
      </c>
      <c r="J488" s="8">
        <f t="shared" si="46"/>
        <v>0</v>
      </c>
      <c r="K488" s="15">
        <v>3.4722223062999547E-5</v>
      </c>
      <c r="M488" s="8">
        <f t="shared" si="44"/>
        <v>583</v>
      </c>
      <c r="N488" s="9" t="s">
        <v>63</v>
      </c>
      <c r="O488" s="9" t="s">
        <v>16</v>
      </c>
      <c r="P488" s="9">
        <v>172</v>
      </c>
      <c r="Q488" s="9">
        <v>125</v>
      </c>
      <c r="R488" s="8" t="s">
        <v>17</v>
      </c>
      <c r="S488" s="11">
        <v>31</v>
      </c>
      <c r="T488" s="10">
        <v>0.27</v>
      </c>
    </row>
    <row r="489" spans="1:20" x14ac:dyDescent="0.3">
      <c r="A489" s="7">
        <f t="shared" si="45"/>
        <v>484</v>
      </c>
      <c r="B489" s="8">
        <v>5509</v>
      </c>
      <c r="C489" s="9" t="str">
        <f t="shared" si="43"/>
        <v>5840x85185fe3A4e36079818Ba1d12705A9B6898997040xa60AdD2af71a4f50b3F94509E71a1e9DbDeA5dDa1633138unidade930027</v>
      </c>
      <c r="D489" s="13"/>
      <c r="E489" s="8" t="s">
        <v>951</v>
      </c>
      <c r="F489" s="8">
        <f t="shared" si="47"/>
        <v>0</v>
      </c>
      <c r="G489" s="8">
        <f t="shared" si="47"/>
        <v>0</v>
      </c>
      <c r="H489" s="8">
        <f t="shared" si="47"/>
        <v>0</v>
      </c>
      <c r="I489" s="8">
        <f t="shared" si="47"/>
        <v>1</v>
      </c>
      <c r="J489" s="8">
        <f t="shared" si="46"/>
        <v>0</v>
      </c>
      <c r="K489" s="15">
        <v>4.398148157633841E-4</v>
      </c>
      <c r="M489" s="8">
        <f t="shared" si="44"/>
        <v>584</v>
      </c>
      <c r="N489" s="9" t="s">
        <v>63</v>
      </c>
      <c r="O489" s="9" t="s">
        <v>16</v>
      </c>
      <c r="P489" s="9">
        <v>1633</v>
      </c>
      <c r="Q489" s="9">
        <v>138</v>
      </c>
      <c r="R489" s="8" t="s">
        <v>17</v>
      </c>
      <c r="S489" s="11">
        <v>93</v>
      </c>
      <c r="T489" s="10">
        <v>0.27</v>
      </c>
    </row>
    <row r="490" spans="1:20" x14ac:dyDescent="0.3">
      <c r="A490" s="7">
        <f t="shared" si="45"/>
        <v>485</v>
      </c>
      <c r="B490" s="8">
        <v>5186</v>
      </c>
      <c r="C490" s="9" t="str">
        <f t="shared" ref="C490:C505" si="48">M490&amp;N490&amp;O490&amp;P490&amp;Q490&amp;R490&amp;(S490*100)&amp;(T490*100)</f>
        <v>5850x85185fe3A4e36079818Ba1d12705A9B6898997040xa60AdD2af71a4f50b3F94509E71a1e9DbDeA5dDa1189154unidade1030027</v>
      </c>
      <c r="D490" s="13"/>
      <c r="E490" s="8" t="s">
        <v>952</v>
      </c>
      <c r="F490" s="8">
        <f t="shared" si="47"/>
        <v>0</v>
      </c>
      <c r="G490" s="8">
        <f t="shared" si="47"/>
        <v>0</v>
      </c>
      <c r="H490" s="8">
        <f t="shared" si="47"/>
        <v>0</v>
      </c>
      <c r="I490" s="8">
        <f t="shared" si="47"/>
        <v>9</v>
      </c>
      <c r="J490" s="8">
        <f t="shared" si="46"/>
        <v>0</v>
      </c>
      <c r="K490" s="15">
        <v>2.8935184673173353E-4</v>
      </c>
      <c r="M490" s="8">
        <f t="shared" si="44"/>
        <v>585</v>
      </c>
      <c r="N490" s="9" t="s">
        <v>63</v>
      </c>
      <c r="O490" s="9" t="s">
        <v>16</v>
      </c>
      <c r="P490" s="9">
        <v>1189</v>
      </c>
      <c r="Q490" s="9">
        <v>154</v>
      </c>
      <c r="R490" s="8" t="s">
        <v>17</v>
      </c>
      <c r="S490" s="11">
        <v>103</v>
      </c>
      <c r="T490" s="10">
        <v>0.27</v>
      </c>
    </row>
    <row r="491" spans="1:20" x14ac:dyDescent="0.3">
      <c r="A491" s="7">
        <f t="shared" si="45"/>
        <v>486</v>
      </c>
      <c r="B491" s="8">
        <v>1268</v>
      </c>
      <c r="C491" s="9" t="str">
        <f t="shared" si="48"/>
        <v>5860x85185fe3A4e36079818Ba1d12705A9B6898997040xa60AdD2af71a4f50b3F94509E71a1e9DbDeA5dDa618149unidade590027</v>
      </c>
      <c r="D491" s="13"/>
      <c r="E491" s="8" t="s">
        <v>953</v>
      </c>
      <c r="F491" s="8">
        <f t="shared" si="47"/>
        <v>0</v>
      </c>
      <c r="G491" s="8">
        <f t="shared" si="47"/>
        <v>0</v>
      </c>
      <c r="H491" s="8">
        <f t="shared" si="47"/>
        <v>0</v>
      </c>
      <c r="I491" s="8">
        <f t="shared" si="47"/>
        <v>9</v>
      </c>
      <c r="J491" s="8">
        <f t="shared" si="46"/>
        <v>0</v>
      </c>
      <c r="K491" s="15">
        <v>6.9444446125999093E-5</v>
      </c>
      <c r="M491" s="8">
        <f t="shared" si="44"/>
        <v>586</v>
      </c>
      <c r="N491" s="9" t="s">
        <v>63</v>
      </c>
      <c r="O491" s="9" t="s">
        <v>16</v>
      </c>
      <c r="P491" s="9">
        <v>618</v>
      </c>
      <c r="Q491" s="9">
        <v>149</v>
      </c>
      <c r="R491" s="8" t="s">
        <v>17</v>
      </c>
      <c r="S491" s="11">
        <v>59</v>
      </c>
      <c r="T491" s="10">
        <v>0.27</v>
      </c>
    </row>
    <row r="492" spans="1:20" x14ac:dyDescent="0.3">
      <c r="A492" s="7">
        <f t="shared" si="45"/>
        <v>487</v>
      </c>
      <c r="B492" s="8">
        <v>595</v>
      </c>
      <c r="C492" s="9" t="str">
        <f t="shared" si="48"/>
        <v>5870x85185fe3A4e36079818Ba1d12705A9B6898997040xa60AdD2af71a4f50b3F94509E71a1e9DbDeA5dDa591180unidade990027</v>
      </c>
      <c r="D492" s="13"/>
      <c r="E492" s="8" t="s">
        <v>954</v>
      </c>
      <c r="F492" s="8">
        <f t="shared" si="47"/>
        <v>0</v>
      </c>
      <c r="G492" s="8">
        <f t="shared" si="47"/>
        <v>0</v>
      </c>
      <c r="H492" s="8">
        <f t="shared" si="47"/>
        <v>0</v>
      </c>
      <c r="I492" s="8">
        <f t="shared" si="47"/>
        <v>1</v>
      </c>
      <c r="J492" s="8">
        <f t="shared" si="46"/>
        <v>0</v>
      </c>
      <c r="K492" s="15">
        <v>2.314814628334716E-5</v>
      </c>
      <c r="M492" s="8">
        <f t="shared" si="44"/>
        <v>587</v>
      </c>
      <c r="N492" s="9" t="s">
        <v>63</v>
      </c>
      <c r="O492" s="9" t="s">
        <v>16</v>
      </c>
      <c r="P492" s="9">
        <v>591</v>
      </c>
      <c r="Q492" s="9">
        <v>180</v>
      </c>
      <c r="R492" s="8" t="s">
        <v>17</v>
      </c>
      <c r="S492" s="11">
        <v>99</v>
      </c>
      <c r="T492" s="10">
        <v>0.27</v>
      </c>
    </row>
    <row r="493" spans="1:20" x14ac:dyDescent="0.3">
      <c r="A493" s="7">
        <f t="shared" si="45"/>
        <v>488</v>
      </c>
      <c r="B493" s="8">
        <v>2116</v>
      </c>
      <c r="C493" s="9" t="str">
        <f t="shared" si="48"/>
        <v>5880x85185fe3A4e36079818Ba1d12705A9B6898997040xa60AdD2af71a4f50b3F94509E71a1e9DbDeA5dDa1835164unidade210027</v>
      </c>
      <c r="D493" s="13"/>
      <c r="E493" s="8" t="s">
        <v>955</v>
      </c>
      <c r="F493" s="8">
        <f t="shared" si="47"/>
        <v>0</v>
      </c>
      <c r="G493" s="8">
        <f t="shared" si="47"/>
        <v>0</v>
      </c>
      <c r="H493" s="8">
        <f t="shared" si="47"/>
        <v>0</v>
      </c>
      <c r="I493" s="8">
        <f t="shared" si="47"/>
        <v>1</v>
      </c>
      <c r="J493" s="8">
        <f t="shared" si="46"/>
        <v>0</v>
      </c>
      <c r="K493" s="15">
        <v>1.0416666918899864E-4</v>
      </c>
      <c r="M493" s="8">
        <f t="shared" si="44"/>
        <v>588</v>
      </c>
      <c r="N493" s="9" t="s">
        <v>63</v>
      </c>
      <c r="O493" s="9" t="s">
        <v>16</v>
      </c>
      <c r="P493" s="9">
        <v>1835</v>
      </c>
      <c r="Q493" s="9">
        <v>164</v>
      </c>
      <c r="R493" s="8" t="s">
        <v>17</v>
      </c>
      <c r="S493" s="11">
        <v>21</v>
      </c>
      <c r="T493" s="10">
        <v>0.27</v>
      </c>
    </row>
    <row r="494" spans="1:20" x14ac:dyDescent="0.3">
      <c r="A494" s="7">
        <f t="shared" si="45"/>
        <v>489</v>
      </c>
      <c r="B494" s="8">
        <v>6876</v>
      </c>
      <c r="C494" s="9" t="str">
        <f t="shared" si="48"/>
        <v>5890x85185fe3A4e36079818Ba1d12705A9B6898997040xa60AdD2af71a4f50b3F94509E71a1e9DbDeA5dDa1684196unidade1150027</v>
      </c>
      <c r="D494" s="13"/>
      <c r="E494" s="8" t="s">
        <v>956</v>
      </c>
      <c r="F494" s="8">
        <f t="shared" si="47"/>
        <v>0</v>
      </c>
      <c r="G494" s="8">
        <f t="shared" si="47"/>
        <v>0</v>
      </c>
      <c r="H494" s="8">
        <f t="shared" si="47"/>
        <v>0</v>
      </c>
      <c r="I494" s="8">
        <f t="shared" si="47"/>
        <v>5</v>
      </c>
      <c r="J494" s="8">
        <f t="shared" si="46"/>
        <v>0</v>
      </c>
      <c r="K494" s="15">
        <v>3.819444464170374E-4</v>
      </c>
      <c r="M494" s="8">
        <f t="shared" si="44"/>
        <v>589</v>
      </c>
      <c r="N494" s="9" t="s">
        <v>63</v>
      </c>
      <c r="O494" s="9" t="s">
        <v>16</v>
      </c>
      <c r="P494" s="9">
        <v>1684</v>
      </c>
      <c r="Q494" s="9">
        <v>196</v>
      </c>
      <c r="R494" s="8" t="s">
        <v>17</v>
      </c>
      <c r="S494" s="11">
        <v>115</v>
      </c>
      <c r="T494" s="10">
        <v>0.27</v>
      </c>
    </row>
    <row r="495" spans="1:20" x14ac:dyDescent="0.3">
      <c r="A495" s="7">
        <f t="shared" si="45"/>
        <v>490</v>
      </c>
      <c r="B495" s="8">
        <v>3218</v>
      </c>
      <c r="C495" s="9" t="str">
        <f t="shared" si="48"/>
        <v>5900x85185fe3A4e36079818Ba1d12705A9B6898997040xa60AdD2af71a4f50b3F94509E71a1e9DbDeA5dDa791193unidade730027</v>
      </c>
      <c r="D495" s="13"/>
      <c r="E495" s="8" t="s">
        <v>957</v>
      </c>
      <c r="F495" s="8">
        <f t="shared" si="47"/>
        <v>0</v>
      </c>
      <c r="G495" s="8">
        <f t="shared" si="47"/>
        <v>0</v>
      </c>
      <c r="H495" s="8">
        <f t="shared" si="47"/>
        <v>0</v>
      </c>
      <c r="I495" s="8">
        <f t="shared" si="47"/>
        <v>1</v>
      </c>
      <c r="J495" s="8">
        <f t="shared" si="46"/>
        <v>0</v>
      </c>
      <c r="K495" s="15">
        <v>1.7361110803904012E-4</v>
      </c>
      <c r="M495" s="8">
        <f t="shared" si="44"/>
        <v>590</v>
      </c>
      <c r="N495" s="9" t="s">
        <v>63</v>
      </c>
      <c r="O495" s="9" t="s">
        <v>16</v>
      </c>
      <c r="P495" s="9">
        <v>791</v>
      </c>
      <c r="Q495" s="9">
        <v>193</v>
      </c>
      <c r="R495" s="8" t="s">
        <v>17</v>
      </c>
      <c r="S495" s="11">
        <v>73</v>
      </c>
      <c r="T495" s="10">
        <v>0.27</v>
      </c>
    </row>
    <row r="496" spans="1:20" x14ac:dyDescent="0.3">
      <c r="A496" s="7">
        <f t="shared" si="45"/>
        <v>491</v>
      </c>
      <c r="B496" s="8">
        <v>1171</v>
      </c>
      <c r="C496" s="9" t="str">
        <f t="shared" si="48"/>
        <v>5910x85185fe3A4e36079818Ba1d12705A9B6898997040xa60AdD2af71a4f50b3F94509E71a1e9DbDeA5dDa1854184unidade820027</v>
      </c>
      <c r="D496" s="13"/>
      <c r="E496" s="8" t="s">
        <v>958</v>
      </c>
      <c r="F496" s="8">
        <f t="shared" si="47"/>
        <v>0</v>
      </c>
      <c r="G496" s="8">
        <f t="shared" si="47"/>
        <v>0</v>
      </c>
      <c r="H496" s="8">
        <f t="shared" si="47"/>
        <v>0</v>
      </c>
      <c r="I496" s="8">
        <f t="shared" si="47"/>
        <v>1</v>
      </c>
      <c r="J496" s="8">
        <f t="shared" si="46"/>
        <v>0</v>
      </c>
      <c r="K496" s="15">
        <v>5.7870369346346706E-5</v>
      </c>
      <c r="M496" s="8">
        <f t="shared" si="44"/>
        <v>591</v>
      </c>
      <c r="N496" s="9" t="s">
        <v>63</v>
      </c>
      <c r="O496" s="9" t="s">
        <v>16</v>
      </c>
      <c r="P496" s="9">
        <v>1854</v>
      </c>
      <c r="Q496" s="9">
        <v>184</v>
      </c>
      <c r="R496" s="8" t="s">
        <v>17</v>
      </c>
      <c r="S496" s="11">
        <v>82</v>
      </c>
      <c r="T496" s="10">
        <v>0.27</v>
      </c>
    </row>
    <row r="497" spans="1:20" x14ac:dyDescent="0.3">
      <c r="A497" s="7">
        <f t="shared" si="45"/>
        <v>492</v>
      </c>
      <c r="B497" s="8">
        <v>774</v>
      </c>
      <c r="C497" s="9" t="str">
        <f t="shared" si="48"/>
        <v>5920x85185fe3A4e36079818Ba1d12705A9B6898997040xa60AdD2af71a4f50b3F94509E71a1e9DbDeA5dDa518140unidade180027</v>
      </c>
      <c r="D497" s="13"/>
      <c r="E497" s="8" t="s">
        <v>959</v>
      </c>
      <c r="F497" s="8">
        <f t="shared" si="47"/>
        <v>0</v>
      </c>
      <c r="G497" s="8">
        <f t="shared" si="47"/>
        <v>0</v>
      </c>
      <c r="H497" s="8">
        <f t="shared" si="47"/>
        <v>0</v>
      </c>
      <c r="I497" s="8">
        <f t="shared" si="47"/>
        <v>3</v>
      </c>
      <c r="J497" s="8">
        <f t="shared" si="46"/>
        <v>0</v>
      </c>
      <c r="K497" s="15">
        <v>4.6296299842651933E-5</v>
      </c>
      <c r="M497" s="8">
        <f t="shared" si="44"/>
        <v>592</v>
      </c>
      <c r="N497" s="9" t="s">
        <v>63</v>
      </c>
      <c r="O497" s="9" t="s">
        <v>16</v>
      </c>
      <c r="P497" s="9">
        <v>518</v>
      </c>
      <c r="Q497" s="9">
        <v>140</v>
      </c>
      <c r="R497" s="8" t="s">
        <v>17</v>
      </c>
      <c r="S497" s="11">
        <v>18</v>
      </c>
      <c r="T497" s="10">
        <v>0.27</v>
      </c>
    </row>
    <row r="498" spans="1:20" x14ac:dyDescent="0.3">
      <c r="A498" s="7">
        <f t="shared" si="45"/>
        <v>493</v>
      </c>
      <c r="B498" s="8">
        <v>3780</v>
      </c>
      <c r="C498" s="9" t="str">
        <f t="shared" si="48"/>
        <v>5930x85185fe3A4e36079818Ba1d12705A9B6898997040xa60AdD2af71a4f50b3F94509E71a1e9DbDeA5dDa1332153unidade1020027</v>
      </c>
      <c r="D498" s="13"/>
      <c r="E498" s="8" t="s">
        <v>960</v>
      </c>
      <c r="F498" s="8">
        <f t="shared" si="47"/>
        <v>0</v>
      </c>
      <c r="G498" s="8">
        <f t="shared" si="47"/>
        <v>0</v>
      </c>
      <c r="H498" s="8">
        <f t="shared" si="47"/>
        <v>0</v>
      </c>
      <c r="I498" s="8">
        <f t="shared" si="47"/>
        <v>1</v>
      </c>
      <c r="J498" s="8">
        <f t="shared" si="46"/>
        <v>0</v>
      </c>
      <c r="K498" s="15">
        <v>1.7361110803904012E-4</v>
      </c>
      <c r="M498" s="8">
        <f t="shared" si="44"/>
        <v>593</v>
      </c>
      <c r="N498" s="9" t="s">
        <v>63</v>
      </c>
      <c r="O498" s="9" t="s">
        <v>16</v>
      </c>
      <c r="P498" s="9">
        <v>1332</v>
      </c>
      <c r="Q498" s="9">
        <v>153</v>
      </c>
      <c r="R498" s="8" t="s">
        <v>17</v>
      </c>
      <c r="S498" s="11">
        <v>102</v>
      </c>
      <c r="T498" s="10">
        <v>0.27</v>
      </c>
    </row>
    <row r="499" spans="1:20" x14ac:dyDescent="0.3">
      <c r="A499" s="7">
        <f t="shared" si="45"/>
        <v>494</v>
      </c>
      <c r="B499" s="8">
        <v>4756</v>
      </c>
      <c r="C499" s="9" t="str">
        <f t="shared" si="48"/>
        <v>5940x85185fe3A4e36079818Ba1d12705A9B6898997040xa60AdD2af71a4f50b3F94509E71a1e9DbDeA5dDa322130unidade800027</v>
      </c>
      <c r="D499" s="13"/>
      <c r="E499" s="8" t="s">
        <v>961</v>
      </c>
      <c r="F499" s="8">
        <f t="shared" si="47"/>
        <v>0</v>
      </c>
      <c r="G499" s="8">
        <f t="shared" si="47"/>
        <v>0</v>
      </c>
      <c r="H499" s="8">
        <f t="shared" si="47"/>
        <v>0</v>
      </c>
      <c r="I499" s="8">
        <f t="shared" si="47"/>
        <v>1</v>
      </c>
      <c r="J499" s="8">
        <f t="shared" si="46"/>
        <v>0</v>
      </c>
      <c r="K499" s="15">
        <v>4.1666666948003694E-4</v>
      </c>
      <c r="M499" s="8">
        <f t="shared" si="44"/>
        <v>594</v>
      </c>
      <c r="N499" s="9" t="s">
        <v>63</v>
      </c>
      <c r="O499" s="9" t="s">
        <v>16</v>
      </c>
      <c r="P499" s="9">
        <v>322</v>
      </c>
      <c r="Q499" s="9">
        <v>130</v>
      </c>
      <c r="R499" s="8" t="s">
        <v>17</v>
      </c>
      <c r="S499" s="11">
        <v>80</v>
      </c>
      <c r="T499" s="10">
        <v>0.27</v>
      </c>
    </row>
    <row r="500" spans="1:20" x14ac:dyDescent="0.3">
      <c r="A500" s="7">
        <f t="shared" si="45"/>
        <v>495</v>
      </c>
      <c r="B500" s="8">
        <v>4451</v>
      </c>
      <c r="C500" s="9" t="str">
        <f t="shared" si="48"/>
        <v>5950x85185fe3A4e36079818Ba1d12705A9B6898997040xa60AdD2af71a4f50b3F94509E71a1e9DbDeA5dDa1902189unidade910027</v>
      </c>
      <c r="D500" s="13"/>
      <c r="E500" s="8" t="s">
        <v>962</v>
      </c>
      <c r="F500" s="8">
        <f t="shared" si="47"/>
        <v>0</v>
      </c>
      <c r="G500" s="8">
        <f t="shared" si="47"/>
        <v>0</v>
      </c>
      <c r="H500" s="8">
        <f t="shared" si="47"/>
        <v>0</v>
      </c>
      <c r="I500" s="8">
        <f t="shared" si="47"/>
        <v>1</v>
      </c>
      <c r="J500" s="8">
        <f t="shared" si="46"/>
        <v>0</v>
      </c>
      <c r="K500" s="15">
        <v>2.3148147738538682E-4</v>
      </c>
      <c r="M500" s="8">
        <f t="shared" si="44"/>
        <v>595</v>
      </c>
      <c r="N500" s="9" t="s">
        <v>63</v>
      </c>
      <c r="O500" s="9" t="s">
        <v>16</v>
      </c>
      <c r="P500" s="9">
        <v>1902</v>
      </c>
      <c r="Q500" s="9">
        <v>189</v>
      </c>
      <c r="R500" s="8" t="s">
        <v>17</v>
      </c>
      <c r="S500" s="11">
        <v>91</v>
      </c>
      <c r="T500" s="10">
        <v>0.27</v>
      </c>
    </row>
    <row r="501" spans="1:20" x14ac:dyDescent="0.3">
      <c r="A501" s="7">
        <f t="shared" si="45"/>
        <v>496</v>
      </c>
      <c r="B501" s="8">
        <v>12687</v>
      </c>
      <c r="C501" s="9" t="str">
        <f t="shared" si="48"/>
        <v>5960x85185fe3A4e36079818Ba1d12705A9B6898997040xa60AdD2af71a4f50b3F94509E71a1e9DbDeA5dDa1892166unidade330027</v>
      </c>
      <c r="D501" s="13"/>
      <c r="E501" s="8" t="s">
        <v>963</v>
      </c>
      <c r="F501" s="8">
        <f t="shared" si="47"/>
        <v>0</v>
      </c>
      <c r="G501" s="8">
        <f t="shared" si="47"/>
        <v>0</v>
      </c>
      <c r="H501" s="8">
        <f t="shared" si="47"/>
        <v>0</v>
      </c>
      <c r="I501" s="8">
        <f t="shared" si="47"/>
        <v>1</v>
      </c>
      <c r="J501" s="8">
        <f t="shared" si="46"/>
        <v>0</v>
      </c>
      <c r="K501" s="15">
        <v>1.1921296318178065E-3</v>
      </c>
      <c r="M501" s="8">
        <f t="shared" si="44"/>
        <v>596</v>
      </c>
      <c r="N501" s="9" t="s">
        <v>63</v>
      </c>
      <c r="O501" s="9" t="s">
        <v>16</v>
      </c>
      <c r="P501" s="9">
        <v>1892</v>
      </c>
      <c r="Q501" s="9">
        <v>166</v>
      </c>
      <c r="R501" s="8" t="s">
        <v>17</v>
      </c>
      <c r="S501" s="11">
        <v>33</v>
      </c>
      <c r="T501" s="10">
        <v>0.27</v>
      </c>
    </row>
    <row r="502" spans="1:20" x14ac:dyDescent="0.3">
      <c r="A502" s="7">
        <f t="shared" si="45"/>
        <v>497</v>
      </c>
      <c r="B502" s="8">
        <v>826</v>
      </c>
      <c r="C502" s="9" t="str">
        <f t="shared" si="48"/>
        <v>5970x85185fe3A4e36079818Ba1d12705A9B6898997040xa60AdD2af71a4f50b3F94509E71a1e9DbDeA5dDa1669173unidade470027</v>
      </c>
      <c r="D502" s="13"/>
      <c r="E502" s="8" t="s">
        <v>964</v>
      </c>
      <c r="F502" s="8">
        <f t="shared" si="47"/>
        <v>0</v>
      </c>
      <c r="G502" s="8">
        <f t="shared" si="47"/>
        <v>0</v>
      </c>
      <c r="H502" s="8">
        <f t="shared" si="47"/>
        <v>0</v>
      </c>
      <c r="I502" s="8">
        <f t="shared" si="47"/>
        <v>7</v>
      </c>
      <c r="J502" s="8">
        <f t="shared" si="46"/>
        <v>0</v>
      </c>
      <c r="K502" s="15">
        <v>5.7870369346346706E-5</v>
      </c>
      <c r="M502" s="8">
        <f t="shared" si="44"/>
        <v>597</v>
      </c>
      <c r="N502" s="9" t="s">
        <v>63</v>
      </c>
      <c r="O502" s="9" t="s">
        <v>16</v>
      </c>
      <c r="P502" s="9">
        <v>1669</v>
      </c>
      <c r="Q502" s="9">
        <v>173</v>
      </c>
      <c r="R502" s="8" t="s">
        <v>17</v>
      </c>
      <c r="S502" s="11">
        <v>47</v>
      </c>
      <c r="T502" s="10">
        <v>0.27</v>
      </c>
    </row>
    <row r="503" spans="1:20" x14ac:dyDescent="0.3">
      <c r="A503" s="7">
        <f t="shared" si="45"/>
        <v>498</v>
      </c>
      <c r="B503" s="8">
        <v>2015</v>
      </c>
      <c r="C503" s="9" t="str">
        <f t="shared" si="48"/>
        <v>5980x85185fe3A4e36079818Ba1d12705A9B6898997040xa60AdD2af71a4f50b3F94509E71a1e9DbDeA5dDa251112unidade290027</v>
      </c>
      <c r="D503" s="13"/>
      <c r="E503" s="8" t="s">
        <v>965</v>
      </c>
      <c r="F503" s="8">
        <f t="shared" si="47"/>
        <v>0</v>
      </c>
      <c r="G503" s="8">
        <f t="shared" si="47"/>
        <v>0</v>
      </c>
      <c r="H503" s="8">
        <f t="shared" si="47"/>
        <v>0</v>
      </c>
      <c r="I503" s="8">
        <f t="shared" si="47"/>
        <v>5</v>
      </c>
      <c r="J503" s="8">
        <f t="shared" si="46"/>
        <v>0</v>
      </c>
      <c r="K503" s="15">
        <v>1.1574074596865103E-4</v>
      </c>
      <c r="M503" s="8">
        <f t="shared" si="44"/>
        <v>598</v>
      </c>
      <c r="N503" s="9" t="s">
        <v>63</v>
      </c>
      <c r="O503" s="9" t="s">
        <v>16</v>
      </c>
      <c r="P503" s="9">
        <v>251</v>
      </c>
      <c r="Q503" s="9">
        <v>112</v>
      </c>
      <c r="R503" s="8" t="s">
        <v>17</v>
      </c>
      <c r="S503" s="11">
        <v>29</v>
      </c>
      <c r="T503" s="10">
        <v>0.27</v>
      </c>
    </row>
    <row r="504" spans="1:20" x14ac:dyDescent="0.3">
      <c r="A504" s="7">
        <f t="shared" si="45"/>
        <v>499</v>
      </c>
      <c r="B504" s="8">
        <v>5579</v>
      </c>
      <c r="C504" s="9" t="str">
        <f t="shared" si="48"/>
        <v>5990x85185fe3A4e36079818Ba1d12705A9B6898997040xa60AdD2af71a4f50b3F94509E71a1e9DbDeA5dDa1981140unidade400027</v>
      </c>
      <c r="D504" s="13"/>
      <c r="E504" s="8" t="s">
        <v>966</v>
      </c>
      <c r="F504" s="8">
        <f t="shared" si="47"/>
        <v>0</v>
      </c>
      <c r="G504" s="8">
        <f t="shared" si="47"/>
        <v>0</v>
      </c>
      <c r="H504" s="8">
        <f t="shared" si="47"/>
        <v>0</v>
      </c>
      <c r="I504" s="8">
        <f t="shared" si="47"/>
        <v>9</v>
      </c>
      <c r="J504" s="8">
        <f t="shared" si="46"/>
        <v>0</v>
      </c>
      <c r="K504" s="15">
        <v>4.3981480848742649E-4</v>
      </c>
      <c r="M504" s="8">
        <f t="shared" si="44"/>
        <v>599</v>
      </c>
      <c r="N504" s="9" t="s">
        <v>63</v>
      </c>
      <c r="O504" s="9" t="s">
        <v>16</v>
      </c>
      <c r="P504" s="9">
        <v>1981</v>
      </c>
      <c r="Q504" s="9">
        <v>140</v>
      </c>
      <c r="R504" s="8" t="s">
        <v>17</v>
      </c>
      <c r="S504" s="11">
        <v>40</v>
      </c>
      <c r="T504" s="10">
        <v>0.27</v>
      </c>
    </row>
    <row r="505" spans="1:20" x14ac:dyDescent="0.3">
      <c r="A505" s="7">
        <f t="shared" si="45"/>
        <v>500</v>
      </c>
      <c r="B505" s="8">
        <v>150</v>
      </c>
      <c r="C505" s="9" t="str">
        <f t="shared" si="48"/>
        <v>6000x85185fe3A4e36079818Ba1d12705A9B6898997040xa60AdD2af71a4f50b3F94509E71a1e9DbDeA5dDa1777132unidade1090027</v>
      </c>
      <c r="D505" s="13"/>
      <c r="E505" s="8" t="s">
        <v>968</v>
      </c>
      <c r="F505" s="8">
        <f t="shared" si="47"/>
        <v>0</v>
      </c>
      <c r="G505" s="8">
        <f t="shared" si="47"/>
        <v>0</v>
      </c>
      <c r="H505" s="8">
        <f t="shared" si="47"/>
        <v>0</v>
      </c>
      <c r="I505" s="8">
        <f t="shared" si="47"/>
        <v>1</v>
      </c>
      <c r="J505" s="8">
        <f t="shared" si="46"/>
        <v>0</v>
      </c>
      <c r="K505" s="15">
        <v>1.1574076779652387E-5</v>
      </c>
      <c r="M505" s="8">
        <f t="shared" si="44"/>
        <v>600</v>
      </c>
      <c r="N505" s="9" t="s">
        <v>63</v>
      </c>
      <c r="O505" s="9" t="s">
        <v>16</v>
      </c>
      <c r="P505" s="9">
        <v>1777</v>
      </c>
      <c r="Q505" s="9">
        <v>132</v>
      </c>
      <c r="R505" s="8" t="s">
        <v>17</v>
      </c>
      <c r="S505" s="11">
        <v>109</v>
      </c>
      <c r="T505" s="10">
        <v>0.27</v>
      </c>
    </row>
    <row r="506" spans="1:20" x14ac:dyDescent="0.3">
      <c r="M506" s="8"/>
    </row>
    <row r="507" spans="1:20" x14ac:dyDescent="0.3">
      <c r="K507" s="21">
        <f>AVERAGE($K$5:$K$505)</f>
        <v>7.831790123188063E-4</v>
      </c>
      <c r="M507" s="8"/>
    </row>
    <row r="508" spans="1:20" x14ac:dyDescent="0.3">
      <c r="K508" s="21">
        <f>_xlfn.STDEV.P($K$5:$K$505)</f>
        <v>8.5477544145398578E-4</v>
      </c>
      <c r="M508" s="8"/>
    </row>
    <row r="509" spans="1:20" x14ac:dyDescent="0.3">
      <c r="M509" s="8"/>
    </row>
    <row r="510" spans="1:20" x14ac:dyDescent="0.3">
      <c r="M510" s="8"/>
    </row>
    <row r="511" spans="1:20" x14ac:dyDescent="0.3">
      <c r="M511" s="8"/>
    </row>
    <row r="512" spans="1:20" x14ac:dyDescent="0.3">
      <c r="M512" s="8"/>
    </row>
    <row r="513" spans="13:13" x14ac:dyDescent="0.3">
      <c r="M513" s="8"/>
    </row>
    <row r="514" spans="13:13" x14ac:dyDescent="0.3">
      <c r="M514" s="8"/>
    </row>
    <row r="515" spans="13:13" x14ac:dyDescent="0.3">
      <c r="M515" s="8"/>
    </row>
    <row r="516" spans="13:13" x14ac:dyDescent="0.3">
      <c r="M516" s="8"/>
    </row>
    <row r="517" spans="13:13" x14ac:dyDescent="0.3">
      <c r="M517" s="8"/>
    </row>
    <row r="518" spans="13:13" x14ac:dyDescent="0.3">
      <c r="M518" s="8"/>
    </row>
    <row r="519" spans="13:13" x14ac:dyDescent="0.3">
      <c r="M519" s="8"/>
    </row>
    <row r="520" spans="13:13" x14ac:dyDescent="0.3">
      <c r="M520" s="8"/>
    </row>
    <row r="521" spans="13:13" x14ac:dyDescent="0.3">
      <c r="M521" s="8"/>
    </row>
    <row r="522" spans="13:13" x14ac:dyDescent="0.3">
      <c r="M522" s="8"/>
    </row>
    <row r="523" spans="13:13" x14ac:dyDescent="0.3">
      <c r="M523" s="8"/>
    </row>
    <row r="524" spans="13:13" x14ac:dyDescent="0.3">
      <c r="M524" s="8"/>
    </row>
    <row r="525" spans="13:13" x14ac:dyDescent="0.3">
      <c r="M525" s="8"/>
    </row>
    <row r="526" spans="13:13" x14ac:dyDescent="0.3">
      <c r="M526" s="8"/>
    </row>
    <row r="527" spans="13:13" x14ac:dyDescent="0.3">
      <c r="M527" s="8"/>
    </row>
    <row r="528" spans="13:13" x14ac:dyDescent="0.3">
      <c r="M528" s="8"/>
    </row>
    <row r="529" spans="13:13" x14ac:dyDescent="0.3">
      <c r="M529" s="8"/>
    </row>
    <row r="530" spans="13:13" x14ac:dyDescent="0.3">
      <c r="M530" s="8"/>
    </row>
    <row r="531" spans="13:13" x14ac:dyDescent="0.3">
      <c r="M531" s="8"/>
    </row>
    <row r="532" spans="13:13" x14ac:dyDescent="0.3">
      <c r="M532" s="8"/>
    </row>
    <row r="533" spans="13:13" x14ac:dyDescent="0.3">
      <c r="M533" s="8"/>
    </row>
    <row r="534" spans="13:13" x14ac:dyDescent="0.3">
      <c r="M534" s="8"/>
    </row>
    <row r="535" spans="13:13" x14ac:dyDescent="0.3">
      <c r="M535" s="8"/>
    </row>
    <row r="536" spans="13:13" x14ac:dyDescent="0.3">
      <c r="M536" s="8"/>
    </row>
    <row r="537" spans="13:13" x14ac:dyDescent="0.3">
      <c r="M537" s="8"/>
    </row>
    <row r="538" spans="13:13" x14ac:dyDescent="0.3">
      <c r="M538" s="8"/>
    </row>
    <row r="539" spans="13:13" x14ac:dyDescent="0.3">
      <c r="M539" s="8"/>
    </row>
    <row r="540" spans="13:13" x14ac:dyDescent="0.3">
      <c r="M540" s="8"/>
    </row>
    <row r="541" spans="13:13" x14ac:dyDescent="0.3">
      <c r="M541" s="8"/>
    </row>
    <row r="542" spans="13:13" x14ac:dyDescent="0.3">
      <c r="M542" s="8"/>
    </row>
    <row r="543" spans="13:13" x14ac:dyDescent="0.3">
      <c r="M543" s="8"/>
    </row>
    <row r="544" spans="13:13" x14ac:dyDescent="0.3">
      <c r="M544" s="8"/>
    </row>
    <row r="545" spans="13:13" x14ac:dyDescent="0.3">
      <c r="M545" s="8"/>
    </row>
    <row r="546" spans="13:13" x14ac:dyDescent="0.3">
      <c r="M546" s="8"/>
    </row>
    <row r="547" spans="13:13" x14ac:dyDescent="0.3">
      <c r="M547" s="8"/>
    </row>
    <row r="548" spans="13:13" x14ac:dyDescent="0.3">
      <c r="M548" s="8"/>
    </row>
    <row r="549" spans="13:13" x14ac:dyDescent="0.3">
      <c r="M549" s="8"/>
    </row>
    <row r="550" spans="13:13" x14ac:dyDescent="0.3">
      <c r="M550" s="8"/>
    </row>
    <row r="551" spans="13:13" x14ac:dyDescent="0.3">
      <c r="M551" s="8"/>
    </row>
    <row r="552" spans="13:13" x14ac:dyDescent="0.3">
      <c r="M552" s="8"/>
    </row>
    <row r="553" spans="13:13" x14ac:dyDescent="0.3">
      <c r="M553" s="8"/>
    </row>
    <row r="554" spans="13:13" x14ac:dyDescent="0.3">
      <c r="M554" s="8"/>
    </row>
    <row r="555" spans="13:13" x14ac:dyDescent="0.3">
      <c r="M555" s="8"/>
    </row>
    <row r="556" spans="13:13" x14ac:dyDescent="0.3">
      <c r="M556" s="8"/>
    </row>
    <row r="557" spans="13:13" x14ac:dyDescent="0.3">
      <c r="M557" s="8"/>
    </row>
    <row r="558" spans="13:13" x14ac:dyDescent="0.3">
      <c r="M558" s="8"/>
    </row>
    <row r="559" spans="13:13" x14ac:dyDescent="0.3">
      <c r="M559" s="8"/>
    </row>
    <row r="560" spans="13:13" x14ac:dyDescent="0.3">
      <c r="M560" s="8"/>
    </row>
    <row r="561" spans="13:13" x14ac:dyDescent="0.3">
      <c r="M561" s="8"/>
    </row>
    <row r="562" spans="13:13" x14ac:dyDescent="0.3">
      <c r="M562" s="8"/>
    </row>
    <row r="563" spans="13:13" x14ac:dyDescent="0.3">
      <c r="M563" s="8"/>
    </row>
    <row r="564" spans="13:13" x14ac:dyDescent="0.3">
      <c r="M564" s="8"/>
    </row>
    <row r="565" spans="13:13" x14ac:dyDescent="0.3">
      <c r="M565" s="8"/>
    </row>
    <row r="566" spans="13:13" x14ac:dyDescent="0.3">
      <c r="M566" s="8"/>
    </row>
    <row r="567" spans="13:13" x14ac:dyDescent="0.3">
      <c r="M567" s="8"/>
    </row>
    <row r="568" spans="13:13" x14ac:dyDescent="0.3">
      <c r="M568" s="8"/>
    </row>
    <row r="569" spans="13:13" x14ac:dyDescent="0.3">
      <c r="M569" s="8"/>
    </row>
    <row r="570" spans="13:13" x14ac:dyDescent="0.3">
      <c r="M570" s="8"/>
    </row>
    <row r="571" spans="13:13" x14ac:dyDescent="0.3">
      <c r="M571" s="8"/>
    </row>
    <row r="572" spans="13:13" x14ac:dyDescent="0.3">
      <c r="M572" s="8"/>
    </row>
    <row r="573" spans="13:13" x14ac:dyDescent="0.3">
      <c r="M573" s="8"/>
    </row>
    <row r="574" spans="13:13" x14ac:dyDescent="0.3">
      <c r="M574" s="8"/>
    </row>
    <row r="575" spans="13:13" x14ac:dyDescent="0.3">
      <c r="M575" s="8"/>
    </row>
    <row r="576" spans="13:13" x14ac:dyDescent="0.3">
      <c r="M576" s="8"/>
    </row>
    <row r="577" spans="13:13" x14ac:dyDescent="0.3">
      <c r="M577" s="8"/>
    </row>
    <row r="578" spans="13:13" x14ac:dyDescent="0.3">
      <c r="M578" s="8"/>
    </row>
    <row r="579" spans="13:13" x14ac:dyDescent="0.3">
      <c r="M579" s="8"/>
    </row>
    <row r="580" spans="13:13" x14ac:dyDescent="0.3">
      <c r="M580" s="8"/>
    </row>
    <row r="581" spans="13:13" x14ac:dyDescent="0.3">
      <c r="M581" s="8"/>
    </row>
    <row r="582" spans="13:13" x14ac:dyDescent="0.3">
      <c r="M582" s="8"/>
    </row>
    <row r="583" spans="13:13" x14ac:dyDescent="0.3">
      <c r="M583" s="8"/>
    </row>
    <row r="584" spans="13:13" x14ac:dyDescent="0.3">
      <c r="M584" s="8"/>
    </row>
    <row r="585" spans="13:13" x14ac:dyDescent="0.3">
      <c r="M585" s="8"/>
    </row>
    <row r="586" spans="13:13" x14ac:dyDescent="0.3">
      <c r="M586" s="8"/>
    </row>
    <row r="587" spans="13:13" x14ac:dyDescent="0.3">
      <c r="M587" s="8"/>
    </row>
    <row r="588" spans="13:13" x14ac:dyDescent="0.3">
      <c r="M588" s="8"/>
    </row>
    <row r="589" spans="13:13" x14ac:dyDescent="0.3">
      <c r="M589" s="8"/>
    </row>
    <row r="590" spans="13:13" x14ac:dyDescent="0.3">
      <c r="M590" s="8"/>
    </row>
    <row r="591" spans="13:13" x14ac:dyDescent="0.3">
      <c r="M591" s="8"/>
    </row>
    <row r="592" spans="13:13" x14ac:dyDescent="0.3">
      <c r="M592" s="8"/>
    </row>
    <row r="593" spans="13:13" x14ac:dyDescent="0.3">
      <c r="M593" s="8"/>
    </row>
    <row r="594" spans="13:13" x14ac:dyDescent="0.3">
      <c r="M594" s="8"/>
    </row>
    <row r="595" spans="13:13" x14ac:dyDescent="0.3">
      <c r="M595" s="8"/>
    </row>
    <row r="596" spans="13:13" x14ac:dyDescent="0.3">
      <c r="M596" s="8"/>
    </row>
    <row r="597" spans="13:13" x14ac:dyDescent="0.3">
      <c r="M597" s="8"/>
    </row>
    <row r="598" spans="13:13" x14ac:dyDescent="0.3">
      <c r="M598" s="8"/>
    </row>
    <row r="599" spans="13:13" x14ac:dyDescent="0.3">
      <c r="M599" s="8"/>
    </row>
    <row r="600" spans="13:13" x14ac:dyDescent="0.3">
      <c r="M600" s="8"/>
    </row>
    <row r="601" spans="13:13" x14ac:dyDescent="0.3">
      <c r="M601" s="8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Planilha2 (2)</vt:lpstr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Geraldo Martins</dc:creator>
  <cp:lastModifiedBy>Geraldo Martins</cp:lastModifiedBy>
  <dcterms:created xsi:type="dcterms:W3CDTF">2018-10-23T17:27:02Z</dcterms:created>
  <dcterms:modified xsi:type="dcterms:W3CDTF">2018-11-18T23:14:34Z</dcterms:modified>
</cp:coreProperties>
</file>